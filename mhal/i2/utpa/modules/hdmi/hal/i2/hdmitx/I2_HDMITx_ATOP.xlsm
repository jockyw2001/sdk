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checkCompatibility="1" defaultThemeVersion="124226"/>
  <bookViews>
    <workbookView xWindow="480" yWindow="-120" windowWidth="22755" windowHeight="11040" tabRatio="914"/>
  </bookViews>
  <sheets>
    <sheet name="Main" sheetId="1" r:id="rId1"/>
    <sheet name="8bits_480_60I" sheetId="6" r:id="rId2"/>
    <sheet name="8bits_480_60P" sheetId="7" r:id="rId3"/>
    <sheet name="8bits_1080_60I" sheetId="8" r:id="rId4"/>
    <sheet name="8bits_720_60P" sheetId="9" r:id="rId5"/>
    <sheet name="8bits_1080_60P" sheetId="10" r:id="rId6"/>
    <sheet name="8bits_4K2K_420_30P" sheetId="12" r:id="rId7"/>
    <sheet name="8bits_4K2K_3D_30P" sheetId="13" r:id="rId8"/>
    <sheet name="8bits_4K2K_420_60P" sheetId="14" r:id="rId9"/>
    <sheet name="8bits_4K2K_60P" sheetId="15" r:id="rId10"/>
    <sheet name="10bits_480_60I" sheetId="16" r:id="rId11"/>
    <sheet name="10bits_480_60P" sheetId="17" r:id="rId12"/>
    <sheet name="10bits_1080_60I" sheetId="18" r:id="rId13"/>
    <sheet name="10bits_720_60P" sheetId="19" r:id="rId14"/>
    <sheet name="10bits_1080_60P" sheetId="20" r:id="rId15"/>
    <sheet name="10bits_4K2K_420_30P" sheetId="21" r:id="rId16"/>
    <sheet name="10bits_4K2K_3D_30P" sheetId="22" r:id="rId17"/>
    <sheet name="10bits_4K2K_420_60P" sheetId="23" r:id="rId18"/>
    <sheet name="10bits_4K2K_60P_RB" sheetId="43" r:id="rId19"/>
    <sheet name="12bits_480_60I" sheetId="25" r:id="rId20"/>
    <sheet name="12bits_480_60P" sheetId="26" r:id="rId21"/>
    <sheet name="12bits_1080_60I" sheetId="27" r:id="rId22"/>
    <sheet name="12bits_720_60P" sheetId="28" r:id="rId23"/>
    <sheet name="12bits_1080_60P" sheetId="29" r:id="rId24"/>
    <sheet name="12bits_4K2K_420_30P" sheetId="30" r:id="rId25"/>
    <sheet name="12bits_4K2K_3D_30P" sheetId="31" r:id="rId26"/>
    <sheet name="12bits_4K2K_420_60P" sheetId="32" r:id="rId27"/>
    <sheet name="16bits_480_60I" sheetId="33" r:id="rId28"/>
    <sheet name="16bits_480_60P" sheetId="34" r:id="rId29"/>
    <sheet name="16bits_1080_60I" sheetId="35" r:id="rId30"/>
    <sheet name="16bits_720_60P" sheetId="36" r:id="rId31"/>
    <sheet name="16bits_1080_60P" sheetId="37" r:id="rId32"/>
    <sheet name="16bits_4K2K_420_30P" sheetId="38" r:id="rId33"/>
    <sheet name="16bits_4K2K_3D_30P" sheetId="39" r:id="rId34"/>
    <sheet name="16bits_4K2K_420_60P" sheetId="40" r:id="rId35"/>
    <sheet name="EndOfSheet" sheetId="3" r:id="rId36"/>
    <sheet name="IP_Type" sheetId="5" r:id="rId37"/>
    <sheet name="TimingSupport" sheetId="42" r:id="rId38"/>
  </sheets>
  <functionGroups builtInGroupCount="17"/>
  <calcPr calcId="145621"/>
</workbook>
</file>

<file path=xl/calcChain.xml><?xml version="1.0" encoding="utf-8"?>
<calcChain xmlns="http://schemas.openxmlformats.org/spreadsheetml/2006/main">
  <c r="G84" i="40" l="1"/>
  <c r="F84" i="40"/>
  <c r="G83" i="40"/>
  <c r="F83" i="40"/>
  <c r="G82" i="40"/>
  <c r="F82" i="40"/>
  <c r="G81" i="40"/>
  <c r="F81" i="40"/>
  <c r="G80" i="40"/>
  <c r="F80" i="40"/>
  <c r="G79" i="40"/>
  <c r="F79" i="40"/>
  <c r="G78" i="40"/>
  <c r="F78" i="40"/>
  <c r="G77" i="40"/>
  <c r="F77" i="40"/>
  <c r="G76" i="40"/>
  <c r="F76" i="40"/>
  <c r="G75" i="40"/>
  <c r="F75" i="40"/>
  <c r="G74" i="40"/>
  <c r="F74" i="40"/>
  <c r="G73" i="40"/>
  <c r="F73" i="40"/>
  <c r="G72" i="40"/>
  <c r="F72" i="40"/>
  <c r="G71" i="40"/>
  <c r="F71" i="40"/>
  <c r="G70" i="40"/>
  <c r="F70" i="40"/>
  <c r="G69" i="40"/>
  <c r="F69" i="40"/>
  <c r="G68" i="40"/>
  <c r="F68" i="40"/>
  <c r="G67" i="40"/>
  <c r="F67" i="40"/>
  <c r="G66" i="40"/>
  <c r="F66" i="40"/>
  <c r="G65" i="40"/>
  <c r="F65" i="40"/>
  <c r="G64" i="40"/>
  <c r="F64" i="40"/>
  <c r="G63" i="40"/>
  <c r="F63" i="40"/>
  <c r="G62" i="40"/>
  <c r="F62" i="40"/>
  <c r="G61" i="40"/>
  <c r="F61" i="40"/>
  <c r="G60" i="40"/>
  <c r="F60" i="40"/>
  <c r="G59" i="40"/>
  <c r="F59" i="40"/>
  <c r="G58" i="40"/>
  <c r="F58" i="40"/>
  <c r="G57" i="40"/>
  <c r="F57" i="40"/>
  <c r="G56" i="40"/>
  <c r="F56" i="40"/>
  <c r="G55" i="40"/>
  <c r="F55" i="40"/>
  <c r="G54" i="40"/>
  <c r="F54" i="40"/>
  <c r="G53" i="40"/>
  <c r="F53" i="40"/>
  <c r="G52" i="40"/>
  <c r="F52" i="40"/>
  <c r="G51" i="40"/>
  <c r="F51" i="40"/>
  <c r="G50" i="40"/>
  <c r="F50" i="40"/>
  <c r="G49" i="40"/>
  <c r="F49" i="40"/>
  <c r="G48" i="40"/>
  <c r="F48" i="40"/>
  <c r="G47" i="40"/>
  <c r="F47" i="40"/>
  <c r="G46" i="40"/>
  <c r="F46" i="40"/>
  <c r="G45" i="40"/>
  <c r="F45" i="40"/>
  <c r="G44" i="40"/>
  <c r="F44" i="40"/>
  <c r="G43" i="40"/>
  <c r="F43" i="40"/>
  <c r="G42" i="40"/>
  <c r="F42" i="40"/>
  <c r="G41" i="40"/>
  <c r="F41" i="40"/>
  <c r="G40" i="40"/>
  <c r="F40" i="40"/>
  <c r="G39" i="40"/>
  <c r="F39" i="40"/>
  <c r="G38" i="40"/>
  <c r="F38" i="40"/>
  <c r="G37" i="40"/>
  <c r="F37" i="40"/>
  <c r="G36" i="40"/>
  <c r="F36" i="40"/>
  <c r="G35" i="40"/>
  <c r="F35" i="40"/>
  <c r="G34" i="40"/>
  <c r="F34" i="40"/>
  <c r="G33" i="40"/>
  <c r="F33" i="40"/>
  <c r="G32" i="40"/>
  <c r="F32" i="40"/>
  <c r="G31" i="40"/>
  <c r="F31" i="40"/>
  <c r="G30" i="40"/>
  <c r="F30" i="40"/>
  <c r="G29" i="40"/>
  <c r="F29" i="40"/>
  <c r="G28" i="40"/>
  <c r="F28" i="40"/>
  <c r="G27" i="40"/>
  <c r="F27" i="40"/>
  <c r="G26" i="40"/>
  <c r="F26" i="40"/>
  <c r="G21" i="40"/>
  <c r="F21" i="40"/>
  <c r="G20" i="40"/>
  <c r="F20" i="40"/>
  <c r="G19" i="40"/>
  <c r="F19" i="40"/>
  <c r="G18" i="40"/>
  <c r="F18" i="40"/>
  <c r="G14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G3" i="40"/>
  <c r="F3" i="40"/>
  <c r="G84" i="39"/>
  <c r="F84" i="39"/>
  <c r="G83" i="39"/>
  <c r="F83" i="39"/>
  <c r="G82" i="39"/>
  <c r="F82" i="39"/>
  <c r="G81" i="39"/>
  <c r="F81" i="39"/>
  <c r="G80" i="39"/>
  <c r="F80" i="39"/>
  <c r="G79" i="39"/>
  <c r="F79" i="39"/>
  <c r="G78" i="39"/>
  <c r="F78" i="39"/>
  <c r="G77" i="39"/>
  <c r="F77" i="39"/>
  <c r="G76" i="39"/>
  <c r="F76" i="39"/>
  <c r="G75" i="39"/>
  <c r="F75" i="39"/>
  <c r="G74" i="39"/>
  <c r="F74" i="39"/>
  <c r="G73" i="39"/>
  <c r="F73" i="39"/>
  <c r="G72" i="39"/>
  <c r="F72" i="39"/>
  <c r="G71" i="39"/>
  <c r="F71" i="39"/>
  <c r="G70" i="39"/>
  <c r="F70" i="39"/>
  <c r="G69" i="39"/>
  <c r="F69" i="39"/>
  <c r="G68" i="39"/>
  <c r="F68" i="39"/>
  <c r="G67" i="39"/>
  <c r="F67" i="39"/>
  <c r="G66" i="39"/>
  <c r="F66" i="39"/>
  <c r="G65" i="39"/>
  <c r="F65" i="39"/>
  <c r="G64" i="39"/>
  <c r="F64" i="39"/>
  <c r="G63" i="39"/>
  <c r="F63" i="39"/>
  <c r="G62" i="39"/>
  <c r="F62" i="39"/>
  <c r="G61" i="39"/>
  <c r="F61" i="39"/>
  <c r="G60" i="39"/>
  <c r="F60" i="39"/>
  <c r="G59" i="39"/>
  <c r="F59" i="39"/>
  <c r="G58" i="39"/>
  <c r="F58" i="39"/>
  <c r="G57" i="39"/>
  <c r="F57" i="39"/>
  <c r="G56" i="39"/>
  <c r="F56" i="39"/>
  <c r="G55" i="39"/>
  <c r="F55" i="39"/>
  <c r="G54" i="39"/>
  <c r="F54" i="39"/>
  <c r="G53" i="39"/>
  <c r="F53" i="39"/>
  <c r="G52" i="39"/>
  <c r="F52" i="39"/>
  <c r="G51" i="39"/>
  <c r="F51" i="39"/>
  <c r="G50" i="39"/>
  <c r="F50" i="39"/>
  <c r="G49" i="39"/>
  <c r="F49" i="39"/>
  <c r="G48" i="39"/>
  <c r="F48" i="39"/>
  <c r="G47" i="39"/>
  <c r="F47" i="39"/>
  <c r="G46" i="39"/>
  <c r="F46" i="39"/>
  <c r="G45" i="39"/>
  <c r="F45" i="39"/>
  <c r="G44" i="39"/>
  <c r="F44" i="39"/>
  <c r="G43" i="39"/>
  <c r="F43" i="39"/>
  <c r="G42" i="39"/>
  <c r="F42" i="39"/>
  <c r="G41" i="39"/>
  <c r="F41" i="39"/>
  <c r="G40" i="39"/>
  <c r="F40" i="39"/>
  <c r="G39" i="39"/>
  <c r="F39" i="39"/>
  <c r="G38" i="39"/>
  <c r="F38" i="39"/>
  <c r="G37" i="39"/>
  <c r="F37" i="39"/>
  <c r="G36" i="39"/>
  <c r="F36" i="39"/>
  <c r="G35" i="39"/>
  <c r="F35" i="39"/>
  <c r="G34" i="39"/>
  <c r="F34" i="39"/>
  <c r="G33" i="39"/>
  <c r="F33" i="39"/>
  <c r="G32" i="39"/>
  <c r="F32" i="39"/>
  <c r="G31" i="39"/>
  <c r="F31" i="39"/>
  <c r="G30" i="39"/>
  <c r="F30" i="39"/>
  <c r="G29" i="39"/>
  <c r="F29" i="39"/>
  <c r="G28" i="39"/>
  <c r="F28" i="39"/>
  <c r="G27" i="39"/>
  <c r="F27" i="39"/>
  <c r="G26" i="39"/>
  <c r="F26" i="39"/>
  <c r="G21" i="39"/>
  <c r="F21" i="39"/>
  <c r="G20" i="39"/>
  <c r="F20" i="39"/>
  <c r="G19" i="39"/>
  <c r="F19" i="39"/>
  <c r="G18" i="39"/>
  <c r="F18" i="39"/>
  <c r="G14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G3" i="39"/>
  <c r="F3" i="39"/>
  <c r="G84" i="38"/>
  <c r="F84" i="38"/>
  <c r="G83" i="38"/>
  <c r="F83" i="38"/>
  <c r="G82" i="38"/>
  <c r="F82" i="38"/>
  <c r="G81" i="38"/>
  <c r="F81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G74" i="38"/>
  <c r="F74" i="38"/>
  <c r="G73" i="38"/>
  <c r="F73" i="38"/>
  <c r="G72" i="38"/>
  <c r="F72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G65" i="38"/>
  <c r="F65" i="38"/>
  <c r="G64" i="38"/>
  <c r="F64" i="38"/>
  <c r="G63" i="38"/>
  <c r="F63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G56" i="38"/>
  <c r="F56" i="38"/>
  <c r="G55" i="38"/>
  <c r="F55" i="38"/>
  <c r="G54" i="38"/>
  <c r="F54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G47" i="38"/>
  <c r="F47" i="38"/>
  <c r="G46" i="38"/>
  <c r="F46" i="38"/>
  <c r="G45" i="38"/>
  <c r="F45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G38" i="38"/>
  <c r="F38" i="38"/>
  <c r="G37" i="38"/>
  <c r="F37" i="38"/>
  <c r="G36" i="38"/>
  <c r="F36" i="38"/>
  <c r="G35" i="38"/>
  <c r="F35" i="38"/>
  <c r="G34" i="38"/>
  <c r="F34" i="38"/>
  <c r="G33" i="38"/>
  <c r="F33" i="38"/>
  <c r="G32" i="38"/>
  <c r="F32" i="38"/>
  <c r="G31" i="38"/>
  <c r="F31" i="38"/>
  <c r="G30" i="38"/>
  <c r="F30" i="38"/>
  <c r="G29" i="38"/>
  <c r="F29" i="38"/>
  <c r="G28" i="38"/>
  <c r="F28" i="38"/>
  <c r="G27" i="38"/>
  <c r="F27" i="38"/>
  <c r="G26" i="38"/>
  <c r="F26" i="38"/>
  <c r="G21" i="38"/>
  <c r="F21" i="38"/>
  <c r="G20" i="38"/>
  <c r="F20" i="38"/>
  <c r="G19" i="38"/>
  <c r="F19" i="38"/>
  <c r="G18" i="38"/>
  <c r="F18" i="38"/>
  <c r="G14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G3" i="38"/>
  <c r="F3" i="38"/>
  <c r="G84" i="37"/>
  <c r="F84" i="37"/>
  <c r="G83" i="37"/>
  <c r="F83" i="37"/>
  <c r="G82" i="37"/>
  <c r="F82" i="37"/>
  <c r="G81" i="37"/>
  <c r="F81" i="37"/>
  <c r="G80" i="37"/>
  <c r="F80" i="37"/>
  <c r="G79" i="37"/>
  <c r="F79" i="37"/>
  <c r="G78" i="37"/>
  <c r="F78" i="37"/>
  <c r="G77" i="37"/>
  <c r="F77" i="37"/>
  <c r="G76" i="37"/>
  <c r="F76" i="37"/>
  <c r="G75" i="37"/>
  <c r="F75" i="37"/>
  <c r="G74" i="37"/>
  <c r="F74" i="37"/>
  <c r="G73" i="37"/>
  <c r="F73" i="37"/>
  <c r="G72" i="37"/>
  <c r="F72" i="37"/>
  <c r="G71" i="37"/>
  <c r="F71" i="37"/>
  <c r="G70" i="37"/>
  <c r="F70" i="37"/>
  <c r="G69" i="37"/>
  <c r="F69" i="37"/>
  <c r="G68" i="37"/>
  <c r="F68" i="37"/>
  <c r="G67" i="37"/>
  <c r="F67" i="37"/>
  <c r="G66" i="37"/>
  <c r="F66" i="37"/>
  <c r="G65" i="37"/>
  <c r="F65" i="37"/>
  <c r="G64" i="37"/>
  <c r="F64" i="37"/>
  <c r="G63" i="37"/>
  <c r="F63" i="37"/>
  <c r="G62" i="37"/>
  <c r="F62" i="37"/>
  <c r="G61" i="37"/>
  <c r="F61" i="37"/>
  <c r="G60" i="37"/>
  <c r="F60" i="37"/>
  <c r="G59" i="37"/>
  <c r="F59" i="37"/>
  <c r="G58" i="37"/>
  <c r="F58" i="37"/>
  <c r="G57" i="37"/>
  <c r="F57" i="37"/>
  <c r="G56" i="37"/>
  <c r="F56" i="37"/>
  <c r="G55" i="37"/>
  <c r="F55" i="37"/>
  <c r="G54" i="37"/>
  <c r="F54" i="37"/>
  <c r="G53" i="37"/>
  <c r="F53" i="37"/>
  <c r="G52" i="37"/>
  <c r="F52" i="37"/>
  <c r="G51" i="37"/>
  <c r="F51" i="37"/>
  <c r="G50" i="37"/>
  <c r="F50" i="37"/>
  <c r="G49" i="37"/>
  <c r="F49" i="37"/>
  <c r="G48" i="37"/>
  <c r="F48" i="37"/>
  <c r="G47" i="37"/>
  <c r="F47" i="37"/>
  <c r="G46" i="37"/>
  <c r="F46" i="37"/>
  <c r="G45" i="37"/>
  <c r="F45" i="37"/>
  <c r="G44" i="37"/>
  <c r="F44" i="37"/>
  <c r="G43" i="37"/>
  <c r="F43" i="37"/>
  <c r="G42" i="37"/>
  <c r="F42" i="37"/>
  <c r="G41" i="37"/>
  <c r="F41" i="37"/>
  <c r="G40" i="37"/>
  <c r="F40" i="37"/>
  <c r="G39" i="37"/>
  <c r="F39" i="37"/>
  <c r="G38" i="37"/>
  <c r="F38" i="37"/>
  <c r="G37" i="37"/>
  <c r="F37" i="37"/>
  <c r="G36" i="37"/>
  <c r="F36" i="37"/>
  <c r="G35" i="37"/>
  <c r="F35" i="37"/>
  <c r="G34" i="37"/>
  <c r="F34" i="37"/>
  <c r="G33" i="37"/>
  <c r="F33" i="37"/>
  <c r="G32" i="37"/>
  <c r="F32" i="37"/>
  <c r="G31" i="37"/>
  <c r="F31" i="37"/>
  <c r="G30" i="37"/>
  <c r="F30" i="37"/>
  <c r="G29" i="37"/>
  <c r="F29" i="37"/>
  <c r="G28" i="37"/>
  <c r="F28" i="37"/>
  <c r="G27" i="37"/>
  <c r="F27" i="37"/>
  <c r="G26" i="37"/>
  <c r="F26" i="37"/>
  <c r="G21" i="37"/>
  <c r="F21" i="37"/>
  <c r="G20" i="37"/>
  <c r="F20" i="37"/>
  <c r="G19" i="37"/>
  <c r="F19" i="37"/>
  <c r="G18" i="37"/>
  <c r="F18" i="37"/>
  <c r="G14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G3" i="37"/>
  <c r="F3" i="37"/>
  <c r="G84" i="36"/>
  <c r="F84" i="36"/>
  <c r="G83" i="36"/>
  <c r="F83" i="36"/>
  <c r="G82" i="36"/>
  <c r="F82" i="36"/>
  <c r="G81" i="36"/>
  <c r="F81" i="36"/>
  <c r="G80" i="36"/>
  <c r="F80" i="36"/>
  <c r="G79" i="36"/>
  <c r="F79" i="36"/>
  <c r="G78" i="36"/>
  <c r="F78" i="36"/>
  <c r="G77" i="36"/>
  <c r="F77" i="36"/>
  <c r="G76" i="36"/>
  <c r="F76" i="36"/>
  <c r="G75" i="36"/>
  <c r="F75" i="36"/>
  <c r="G74" i="36"/>
  <c r="F74" i="36"/>
  <c r="G73" i="36"/>
  <c r="F73" i="36"/>
  <c r="G72" i="36"/>
  <c r="F72" i="36"/>
  <c r="G71" i="36"/>
  <c r="F71" i="36"/>
  <c r="G70" i="36"/>
  <c r="F70" i="36"/>
  <c r="G69" i="36"/>
  <c r="F69" i="36"/>
  <c r="G68" i="36"/>
  <c r="F68" i="36"/>
  <c r="G67" i="36"/>
  <c r="F67" i="36"/>
  <c r="G66" i="36"/>
  <c r="F66" i="36"/>
  <c r="G65" i="36"/>
  <c r="F65" i="36"/>
  <c r="G64" i="36"/>
  <c r="F64" i="36"/>
  <c r="G63" i="36"/>
  <c r="F63" i="36"/>
  <c r="G62" i="36"/>
  <c r="F62" i="36"/>
  <c r="G61" i="36"/>
  <c r="F61" i="36"/>
  <c r="G60" i="36"/>
  <c r="F60" i="36"/>
  <c r="G59" i="36"/>
  <c r="F59" i="36"/>
  <c r="G58" i="36"/>
  <c r="F58" i="36"/>
  <c r="G57" i="36"/>
  <c r="F57" i="36"/>
  <c r="G56" i="36"/>
  <c r="F56" i="36"/>
  <c r="G55" i="36"/>
  <c r="F55" i="36"/>
  <c r="G54" i="36"/>
  <c r="F54" i="36"/>
  <c r="G53" i="36"/>
  <c r="F53" i="36"/>
  <c r="G52" i="36"/>
  <c r="F52" i="36"/>
  <c r="G51" i="36"/>
  <c r="F51" i="36"/>
  <c r="G50" i="36"/>
  <c r="F50" i="36"/>
  <c r="G49" i="36"/>
  <c r="F49" i="36"/>
  <c r="G48" i="36"/>
  <c r="F48" i="36"/>
  <c r="G47" i="36"/>
  <c r="F47" i="36"/>
  <c r="G46" i="36"/>
  <c r="F46" i="36"/>
  <c r="G45" i="36"/>
  <c r="F45" i="36"/>
  <c r="G44" i="36"/>
  <c r="F44" i="36"/>
  <c r="G43" i="36"/>
  <c r="F43" i="36"/>
  <c r="G42" i="36"/>
  <c r="F42" i="36"/>
  <c r="G41" i="36"/>
  <c r="F41" i="36"/>
  <c r="G40" i="36"/>
  <c r="F40" i="36"/>
  <c r="G39" i="36"/>
  <c r="F39" i="36"/>
  <c r="G38" i="36"/>
  <c r="F38" i="36"/>
  <c r="G37" i="36"/>
  <c r="F37" i="36"/>
  <c r="G36" i="36"/>
  <c r="F36" i="36"/>
  <c r="G35" i="36"/>
  <c r="F35" i="36"/>
  <c r="G34" i="36"/>
  <c r="F34" i="36"/>
  <c r="G33" i="36"/>
  <c r="F33" i="36"/>
  <c r="G32" i="36"/>
  <c r="F32" i="36"/>
  <c r="G31" i="36"/>
  <c r="F31" i="36"/>
  <c r="G30" i="36"/>
  <c r="F30" i="36"/>
  <c r="G29" i="36"/>
  <c r="F29" i="36"/>
  <c r="G28" i="36"/>
  <c r="F28" i="36"/>
  <c r="G27" i="36"/>
  <c r="F27" i="36"/>
  <c r="G26" i="36"/>
  <c r="F26" i="36"/>
  <c r="G21" i="36"/>
  <c r="F21" i="36"/>
  <c r="G20" i="36"/>
  <c r="F20" i="36"/>
  <c r="G19" i="36"/>
  <c r="F19" i="36"/>
  <c r="G18" i="36"/>
  <c r="F18" i="36"/>
  <c r="G14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G3" i="36"/>
  <c r="F3" i="36"/>
  <c r="G84" i="35"/>
  <c r="F84" i="35"/>
  <c r="G83" i="35"/>
  <c r="F83" i="35"/>
  <c r="G82" i="35"/>
  <c r="F82" i="35"/>
  <c r="G81" i="35"/>
  <c r="F81" i="35"/>
  <c r="G80" i="35"/>
  <c r="F80" i="35"/>
  <c r="G79" i="35"/>
  <c r="F79" i="35"/>
  <c r="G78" i="35"/>
  <c r="F78" i="35"/>
  <c r="G77" i="35"/>
  <c r="F77" i="35"/>
  <c r="G76" i="35"/>
  <c r="F76" i="35"/>
  <c r="G75" i="35"/>
  <c r="F75" i="35"/>
  <c r="G74" i="35"/>
  <c r="F74" i="35"/>
  <c r="G73" i="35"/>
  <c r="F73" i="35"/>
  <c r="G72" i="35"/>
  <c r="F72" i="35"/>
  <c r="G71" i="35"/>
  <c r="F71" i="35"/>
  <c r="G70" i="35"/>
  <c r="F70" i="35"/>
  <c r="G69" i="35"/>
  <c r="F69" i="35"/>
  <c r="G68" i="35"/>
  <c r="F68" i="35"/>
  <c r="G67" i="35"/>
  <c r="F67" i="35"/>
  <c r="G66" i="35"/>
  <c r="F66" i="35"/>
  <c r="G65" i="35"/>
  <c r="F65" i="35"/>
  <c r="G64" i="35"/>
  <c r="F64" i="35"/>
  <c r="G63" i="35"/>
  <c r="F63" i="35"/>
  <c r="G62" i="35"/>
  <c r="F62" i="35"/>
  <c r="G61" i="35"/>
  <c r="F61" i="35"/>
  <c r="G60" i="35"/>
  <c r="F60" i="35"/>
  <c r="G59" i="35"/>
  <c r="F59" i="35"/>
  <c r="G58" i="35"/>
  <c r="F58" i="35"/>
  <c r="G57" i="35"/>
  <c r="F57" i="35"/>
  <c r="G56" i="35"/>
  <c r="F56" i="35"/>
  <c r="G55" i="35"/>
  <c r="F55" i="35"/>
  <c r="G54" i="35"/>
  <c r="F54" i="35"/>
  <c r="G53" i="35"/>
  <c r="F53" i="35"/>
  <c r="G52" i="35"/>
  <c r="F52" i="35"/>
  <c r="G51" i="35"/>
  <c r="F51" i="35"/>
  <c r="G50" i="35"/>
  <c r="F50" i="35"/>
  <c r="G49" i="35"/>
  <c r="F49" i="35"/>
  <c r="G48" i="35"/>
  <c r="F48" i="35"/>
  <c r="G47" i="35"/>
  <c r="F47" i="35"/>
  <c r="G46" i="35"/>
  <c r="F46" i="35"/>
  <c r="G45" i="35"/>
  <c r="F45" i="35"/>
  <c r="G44" i="35"/>
  <c r="F44" i="35"/>
  <c r="G43" i="35"/>
  <c r="F43" i="35"/>
  <c r="G42" i="35"/>
  <c r="F42" i="35"/>
  <c r="G41" i="35"/>
  <c r="F41" i="35"/>
  <c r="G40" i="35"/>
  <c r="F40" i="35"/>
  <c r="G39" i="35"/>
  <c r="F39" i="35"/>
  <c r="G38" i="35"/>
  <c r="F38" i="35"/>
  <c r="G37" i="35"/>
  <c r="F37" i="35"/>
  <c r="G36" i="35"/>
  <c r="F36" i="35"/>
  <c r="G35" i="35"/>
  <c r="F35" i="35"/>
  <c r="G34" i="35"/>
  <c r="F34" i="35"/>
  <c r="G33" i="35"/>
  <c r="F33" i="35"/>
  <c r="G32" i="35"/>
  <c r="F32" i="35"/>
  <c r="G31" i="35"/>
  <c r="F31" i="35"/>
  <c r="G30" i="35"/>
  <c r="F30" i="35"/>
  <c r="G29" i="35"/>
  <c r="F29" i="35"/>
  <c r="G28" i="35"/>
  <c r="F28" i="35"/>
  <c r="G27" i="35"/>
  <c r="F27" i="35"/>
  <c r="G26" i="35"/>
  <c r="F26" i="35"/>
  <c r="G21" i="35"/>
  <c r="F21" i="35"/>
  <c r="G20" i="35"/>
  <c r="F20" i="35"/>
  <c r="G19" i="35"/>
  <c r="F19" i="35"/>
  <c r="G18" i="35"/>
  <c r="F18" i="35"/>
  <c r="G14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G3" i="35"/>
  <c r="F3" i="35"/>
  <c r="G84" i="34"/>
  <c r="F84" i="34"/>
  <c r="G83" i="34"/>
  <c r="F83" i="34"/>
  <c r="G82" i="34"/>
  <c r="F82" i="34"/>
  <c r="G81" i="34"/>
  <c r="F81" i="34"/>
  <c r="G80" i="34"/>
  <c r="F80" i="34"/>
  <c r="G79" i="34"/>
  <c r="F79" i="34"/>
  <c r="G78" i="34"/>
  <c r="F78" i="34"/>
  <c r="G77" i="34"/>
  <c r="F77" i="34"/>
  <c r="G76" i="34"/>
  <c r="F76" i="34"/>
  <c r="G75" i="34"/>
  <c r="F75" i="34"/>
  <c r="G74" i="34"/>
  <c r="F74" i="34"/>
  <c r="G73" i="34"/>
  <c r="F73" i="34"/>
  <c r="G72" i="34"/>
  <c r="F72" i="34"/>
  <c r="G71" i="34"/>
  <c r="F71" i="34"/>
  <c r="G70" i="34"/>
  <c r="F70" i="34"/>
  <c r="G69" i="34"/>
  <c r="F69" i="34"/>
  <c r="G68" i="34"/>
  <c r="F68" i="34"/>
  <c r="G67" i="34"/>
  <c r="F67" i="34"/>
  <c r="G66" i="34"/>
  <c r="F66" i="34"/>
  <c r="G65" i="34"/>
  <c r="F65" i="34"/>
  <c r="G64" i="34"/>
  <c r="F64" i="34"/>
  <c r="G63" i="34"/>
  <c r="F63" i="34"/>
  <c r="G62" i="34"/>
  <c r="F62" i="34"/>
  <c r="G61" i="34"/>
  <c r="F61" i="34"/>
  <c r="G60" i="34"/>
  <c r="F60" i="34"/>
  <c r="G59" i="34"/>
  <c r="F59" i="34"/>
  <c r="G58" i="34"/>
  <c r="F58" i="34"/>
  <c r="G57" i="34"/>
  <c r="F57" i="34"/>
  <c r="G56" i="34"/>
  <c r="F56" i="34"/>
  <c r="G55" i="34"/>
  <c r="F55" i="34"/>
  <c r="G54" i="34"/>
  <c r="F54" i="34"/>
  <c r="G53" i="34"/>
  <c r="F53" i="34"/>
  <c r="G52" i="34"/>
  <c r="F52" i="34"/>
  <c r="G51" i="34"/>
  <c r="F51" i="34"/>
  <c r="G50" i="34"/>
  <c r="F50" i="34"/>
  <c r="G49" i="34"/>
  <c r="F49" i="34"/>
  <c r="G48" i="34"/>
  <c r="F48" i="34"/>
  <c r="G47" i="34"/>
  <c r="F47" i="34"/>
  <c r="G46" i="34"/>
  <c r="F46" i="34"/>
  <c r="G45" i="34"/>
  <c r="F45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G38" i="34"/>
  <c r="F38" i="34"/>
  <c r="G37" i="34"/>
  <c r="F37" i="34"/>
  <c r="G36" i="34"/>
  <c r="F36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G29" i="34"/>
  <c r="F29" i="34"/>
  <c r="G28" i="34"/>
  <c r="F28" i="34"/>
  <c r="G27" i="34"/>
  <c r="F27" i="34"/>
  <c r="G26" i="34"/>
  <c r="F26" i="34"/>
  <c r="G21" i="34"/>
  <c r="F21" i="34"/>
  <c r="G20" i="34"/>
  <c r="F20" i="34"/>
  <c r="G19" i="34"/>
  <c r="F19" i="34"/>
  <c r="G18" i="34"/>
  <c r="F18" i="34"/>
  <c r="G14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G3" i="34"/>
  <c r="F3" i="34"/>
  <c r="G84" i="33"/>
  <c r="F84" i="33"/>
  <c r="G83" i="33"/>
  <c r="F83" i="33"/>
  <c r="G82" i="33"/>
  <c r="F82" i="33"/>
  <c r="G81" i="33"/>
  <c r="F81" i="33"/>
  <c r="G80" i="33"/>
  <c r="F80" i="33"/>
  <c r="G79" i="33"/>
  <c r="F79" i="33"/>
  <c r="G78" i="33"/>
  <c r="F78" i="33"/>
  <c r="G77" i="33"/>
  <c r="F77" i="33"/>
  <c r="G76" i="33"/>
  <c r="F76" i="33"/>
  <c r="G75" i="33"/>
  <c r="F75" i="33"/>
  <c r="G74" i="33"/>
  <c r="F74" i="33"/>
  <c r="G73" i="33"/>
  <c r="F73" i="33"/>
  <c r="G72" i="33"/>
  <c r="F72" i="33"/>
  <c r="G71" i="33"/>
  <c r="F71" i="33"/>
  <c r="G70" i="33"/>
  <c r="F70" i="33"/>
  <c r="G69" i="33"/>
  <c r="F69" i="33"/>
  <c r="G68" i="33"/>
  <c r="F68" i="33"/>
  <c r="G67" i="33"/>
  <c r="F67" i="33"/>
  <c r="G66" i="33"/>
  <c r="F66" i="33"/>
  <c r="G65" i="33"/>
  <c r="F65" i="33"/>
  <c r="G64" i="33"/>
  <c r="F64" i="33"/>
  <c r="G63" i="33"/>
  <c r="F63" i="33"/>
  <c r="G62" i="33"/>
  <c r="F62" i="33"/>
  <c r="G61" i="33"/>
  <c r="F61" i="33"/>
  <c r="G60" i="33"/>
  <c r="F60" i="33"/>
  <c r="G59" i="33"/>
  <c r="F59" i="33"/>
  <c r="G58" i="33"/>
  <c r="F58" i="33"/>
  <c r="G57" i="33"/>
  <c r="F57" i="33"/>
  <c r="G56" i="33"/>
  <c r="F56" i="33"/>
  <c r="G55" i="33"/>
  <c r="F55" i="33"/>
  <c r="G54" i="33"/>
  <c r="F54" i="33"/>
  <c r="G53" i="33"/>
  <c r="F53" i="33"/>
  <c r="G52" i="33"/>
  <c r="F52" i="33"/>
  <c r="G51" i="33"/>
  <c r="F51" i="33"/>
  <c r="G50" i="33"/>
  <c r="F50" i="33"/>
  <c r="G49" i="33"/>
  <c r="F49" i="33"/>
  <c r="G48" i="33"/>
  <c r="F48" i="33"/>
  <c r="G47" i="33"/>
  <c r="F47" i="33"/>
  <c r="G46" i="33"/>
  <c r="F46" i="33"/>
  <c r="G45" i="33"/>
  <c r="F45" i="33"/>
  <c r="G44" i="33"/>
  <c r="F44" i="33"/>
  <c r="G43" i="33"/>
  <c r="F43" i="33"/>
  <c r="G42" i="33"/>
  <c r="F42" i="33"/>
  <c r="G41" i="33"/>
  <c r="F41" i="33"/>
  <c r="G40" i="33"/>
  <c r="F40" i="33"/>
  <c r="G39" i="33"/>
  <c r="F39" i="33"/>
  <c r="G38" i="33"/>
  <c r="F38" i="33"/>
  <c r="G37" i="33"/>
  <c r="F37" i="33"/>
  <c r="G36" i="33"/>
  <c r="F36" i="33"/>
  <c r="G35" i="33"/>
  <c r="F35" i="33"/>
  <c r="G34" i="33"/>
  <c r="F34" i="33"/>
  <c r="G33" i="33"/>
  <c r="F33" i="33"/>
  <c r="G32" i="33"/>
  <c r="F32" i="33"/>
  <c r="G31" i="33"/>
  <c r="F31" i="33"/>
  <c r="G30" i="33"/>
  <c r="F30" i="33"/>
  <c r="G29" i="33"/>
  <c r="F29" i="33"/>
  <c r="G28" i="33"/>
  <c r="F28" i="33"/>
  <c r="G27" i="33"/>
  <c r="F27" i="33"/>
  <c r="G26" i="33"/>
  <c r="F26" i="33"/>
  <c r="G21" i="33"/>
  <c r="F21" i="33"/>
  <c r="G20" i="33"/>
  <c r="F20" i="33"/>
  <c r="G19" i="33"/>
  <c r="F19" i="33"/>
  <c r="G18" i="33"/>
  <c r="F18" i="33"/>
  <c r="G14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G3" i="33"/>
  <c r="F3" i="33"/>
  <c r="G84" i="32"/>
  <c r="F84" i="32"/>
  <c r="G83" i="32"/>
  <c r="F83" i="32"/>
  <c r="G82" i="32"/>
  <c r="F82" i="32"/>
  <c r="G81" i="32"/>
  <c r="F81" i="32"/>
  <c r="G80" i="32"/>
  <c r="F80" i="32"/>
  <c r="G79" i="32"/>
  <c r="F79" i="32"/>
  <c r="G78" i="32"/>
  <c r="F78" i="32"/>
  <c r="G77" i="32"/>
  <c r="F77" i="32"/>
  <c r="G76" i="32"/>
  <c r="F76" i="32"/>
  <c r="G75" i="32"/>
  <c r="F75" i="32"/>
  <c r="G74" i="32"/>
  <c r="F74" i="32"/>
  <c r="G73" i="32"/>
  <c r="F73" i="32"/>
  <c r="G72" i="32"/>
  <c r="F72" i="32"/>
  <c r="G71" i="32"/>
  <c r="F71" i="32"/>
  <c r="G70" i="32"/>
  <c r="F70" i="32"/>
  <c r="G69" i="32"/>
  <c r="F69" i="32"/>
  <c r="G68" i="32"/>
  <c r="F68" i="32"/>
  <c r="G67" i="32"/>
  <c r="F67" i="32"/>
  <c r="G66" i="32"/>
  <c r="F66" i="32"/>
  <c r="G65" i="32"/>
  <c r="F65" i="32"/>
  <c r="G64" i="32"/>
  <c r="F64" i="32"/>
  <c r="G63" i="32"/>
  <c r="F63" i="32"/>
  <c r="G62" i="32"/>
  <c r="F62" i="32"/>
  <c r="G61" i="32"/>
  <c r="F61" i="32"/>
  <c r="G60" i="32"/>
  <c r="F60" i="32"/>
  <c r="G59" i="32"/>
  <c r="F59" i="32"/>
  <c r="G58" i="32"/>
  <c r="F58" i="32"/>
  <c r="G57" i="32"/>
  <c r="F57" i="32"/>
  <c r="G56" i="32"/>
  <c r="F56" i="32"/>
  <c r="G55" i="32"/>
  <c r="F55" i="32"/>
  <c r="G54" i="32"/>
  <c r="F54" i="32"/>
  <c r="G53" i="32"/>
  <c r="F53" i="32"/>
  <c r="G52" i="32"/>
  <c r="F52" i="32"/>
  <c r="G51" i="32"/>
  <c r="F51" i="32"/>
  <c r="G50" i="32"/>
  <c r="F50" i="32"/>
  <c r="G49" i="32"/>
  <c r="F49" i="32"/>
  <c r="G48" i="32"/>
  <c r="F48" i="32"/>
  <c r="G47" i="32"/>
  <c r="F47" i="32"/>
  <c r="G46" i="32"/>
  <c r="F46" i="32"/>
  <c r="G45" i="32"/>
  <c r="F45" i="32"/>
  <c r="G44" i="32"/>
  <c r="F44" i="32"/>
  <c r="G43" i="32"/>
  <c r="F43" i="32"/>
  <c r="G42" i="32"/>
  <c r="F42" i="32"/>
  <c r="G41" i="32"/>
  <c r="F41" i="32"/>
  <c r="G40" i="32"/>
  <c r="F40" i="32"/>
  <c r="G39" i="32"/>
  <c r="F39" i="32"/>
  <c r="G38" i="32"/>
  <c r="F38" i="32"/>
  <c r="G37" i="32"/>
  <c r="F37" i="32"/>
  <c r="G36" i="32"/>
  <c r="F36" i="32"/>
  <c r="G35" i="32"/>
  <c r="F35" i="32"/>
  <c r="G34" i="32"/>
  <c r="F34" i="32"/>
  <c r="G33" i="32"/>
  <c r="F33" i="32"/>
  <c r="G32" i="32"/>
  <c r="F32" i="32"/>
  <c r="G31" i="32"/>
  <c r="F31" i="32"/>
  <c r="G30" i="32"/>
  <c r="F30" i="32"/>
  <c r="G29" i="32"/>
  <c r="F29" i="32"/>
  <c r="G28" i="32"/>
  <c r="F28" i="32"/>
  <c r="G27" i="32"/>
  <c r="F27" i="32"/>
  <c r="G26" i="32"/>
  <c r="F26" i="32"/>
  <c r="G21" i="32"/>
  <c r="F21" i="32"/>
  <c r="G20" i="32"/>
  <c r="F20" i="32"/>
  <c r="G19" i="32"/>
  <c r="F19" i="32"/>
  <c r="G18" i="32"/>
  <c r="F18" i="32"/>
  <c r="G14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G3" i="32"/>
  <c r="F3" i="32"/>
  <c r="G84" i="31"/>
  <c r="F84" i="31"/>
  <c r="G83" i="31"/>
  <c r="F83" i="31"/>
  <c r="G82" i="31"/>
  <c r="F82" i="31"/>
  <c r="G81" i="31"/>
  <c r="F81" i="31"/>
  <c r="G80" i="31"/>
  <c r="F80" i="31"/>
  <c r="G79" i="31"/>
  <c r="F79" i="31"/>
  <c r="G78" i="31"/>
  <c r="F78" i="31"/>
  <c r="G77" i="31"/>
  <c r="F77" i="31"/>
  <c r="G76" i="31"/>
  <c r="F76" i="31"/>
  <c r="G75" i="31"/>
  <c r="F75" i="31"/>
  <c r="G74" i="31"/>
  <c r="F74" i="31"/>
  <c r="G73" i="31"/>
  <c r="F73" i="31"/>
  <c r="G72" i="31"/>
  <c r="F72" i="31"/>
  <c r="G71" i="31"/>
  <c r="F71" i="31"/>
  <c r="G70" i="31"/>
  <c r="F70" i="31"/>
  <c r="G69" i="31"/>
  <c r="F69" i="31"/>
  <c r="G68" i="31"/>
  <c r="F68" i="31"/>
  <c r="G67" i="31"/>
  <c r="F67" i="31"/>
  <c r="G66" i="31"/>
  <c r="F66" i="31"/>
  <c r="G65" i="31"/>
  <c r="F65" i="31"/>
  <c r="G64" i="31"/>
  <c r="F64" i="31"/>
  <c r="G63" i="31"/>
  <c r="F63" i="31"/>
  <c r="G62" i="31"/>
  <c r="F62" i="31"/>
  <c r="G61" i="31"/>
  <c r="F61" i="31"/>
  <c r="G60" i="31"/>
  <c r="F60" i="31"/>
  <c r="G59" i="31"/>
  <c r="F59" i="31"/>
  <c r="G58" i="31"/>
  <c r="F58" i="31"/>
  <c r="G57" i="31"/>
  <c r="F57" i="31"/>
  <c r="G56" i="31"/>
  <c r="F56" i="31"/>
  <c r="G55" i="31"/>
  <c r="F55" i="31"/>
  <c r="G54" i="31"/>
  <c r="F54" i="31"/>
  <c r="G53" i="31"/>
  <c r="F53" i="31"/>
  <c r="G52" i="31"/>
  <c r="F52" i="31"/>
  <c r="G51" i="31"/>
  <c r="F51" i="31"/>
  <c r="G50" i="31"/>
  <c r="F50" i="31"/>
  <c r="G49" i="31"/>
  <c r="F49" i="31"/>
  <c r="G48" i="31"/>
  <c r="F48" i="31"/>
  <c r="G47" i="31"/>
  <c r="F47" i="31"/>
  <c r="G46" i="31"/>
  <c r="F46" i="31"/>
  <c r="G45" i="31"/>
  <c r="F45" i="31"/>
  <c r="G44" i="31"/>
  <c r="F44" i="31"/>
  <c r="G43" i="31"/>
  <c r="F43" i="31"/>
  <c r="G42" i="31"/>
  <c r="F42" i="31"/>
  <c r="G41" i="31"/>
  <c r="F41" i="31"/>
  <c r="G40" i="31"/>
  <c r="F40" i="31"/>
  <c r="G39" i="31"/>
  <c r="F39" i="31"/>
  <c r="G38" i="31"/>
  <c r="F38" i="31"/>
  <c r="G37" i="31"/>
  <c r="F37" i="31"/>
  <c r="G36" i="31"/>
  <c r="F36" i="31"/>
  <c r="G35" i="31"/>
  <c r="F35" i="31"/>
  <c r="G34" i="31"/>
  <c r="F34" i="31"/>
  <c r="G33" i="31"/>
  <c r="F33" i="31"/>
  <c r="G32" i="31"/>
  <c r="F32" i="31"/>
  <c r="G31" i="31"/>
  <c r="F31" i="31"/>
  <c r="G30" i="31"/>
  <c r="F30" i="31"/>
  <c r="G29" i="31"/>
  <c r="F29" i="31"/>
  <c r="G28" i="31"/>
  <c r="F28" i="31"/>
  <c r="G27" i="31"/>
  <c r="F27" i="31"/>
  <c r="G26" i="31"/>
  <c r="F26" i="31"/>
  <c r="G21" i="31"/>
  <c r="F21" i="31"/>
  <c r="G20" i="31"/>
  <c r="F20" i="31"/>
  <c r="G19" i="31"/>
  <c r="F19" i="31"/>
  <c r="G18" i="31"/>
  <c r="F18" i="31"/>
  <c r="G14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G3" i="31"/>
  <c r="F3" i="31"/>
  <c r="G84" i="30"/>
  <c r="F84" i="30"/>
  <c r="G83" i="30"/>
  <c r="F83" i="30"/>
  <c r="G82" i="30"/>
  <c r="F82" i="30"/>
  <c r="G81" i="30"/>
  <c r="F81" i="30"/>
  <c r="G80" i="30"/>
  <c r="F80" i="30"/>
  <c r="G79" i="30"/>
  <c r="F79" i="30"/>
  <c r="G78" i="30"/>
  <c r="F78" i="30"/>
  <c r="G77" i="30"/>
  <c r="F77" i="30"/>
  <c r="G76" i="30"/>
  <c r="F76" i="30"/>
  <c r="G75" i="30"/>
  <c r="F75" i="30"/>
  <c r="G74" i="30"/>
  <c r="F74" i="30"/>
  <c r="G73" i="30"/>
  <c r="F73" i="30"/>
  <c r="G72" i="30"/>
  <c r="F72" i="30"/>
  <c r="G71" i="30"/>
  <c r="F71" i="30"/>
  <c r="G70" i="30"/>
  <c r="F70" i="30"/>
  <c r="G69" i="30"/>
  <c r="F69" i="30"/>
  <c r="G68" i="30"/>
  <c r="F68" i="30"/>
  <c r="G67" i="30"/>
  <c r="F67" i="30"/>
  <c r="G66" i="30"/>
  <c r="F66" i="30"/>
  <c r="G65" i="30"/>
  <c r="F65" i="30"/>
  <c r="G64" i="30"/>
  <c r="F64" i="30"/>
  <c r="G63" i="30"/>
  <c r="F63" i="30"/>
  <c r="G62" i="30"/>
  <c r="F62" i="30"/>
  <c r="G61" i="30"/>
  <c r="F61" i="30"/>
  <c r="G60" i="30"/>
  <c r="F60" i="30"/>
  <c r="G59" i="30"/>
  <c r="F59" i="30"/>
  <c r="G58" i="30"/>
  <c r="F58" i="30"/>
  <c r="G57" i="30"/>
  <c r="F57" i="30"/>
  <c r="G56" i="30"/>
  <c r="F56" i="30"/>
  <c r="G55" i="30"/>
  <c r="F55" i="30"/>
  <c r="G54" i="30"/>
  <c r="F54" i="30"/>
  <c r="G53" i="30"/>
  <c r="F53" i="30"/>
  <c r="G52" i="30"/>
  <c r="F52" i="30"/>
  <c r="G51" i="30"/>
  <c r="F51" i="30"/>
  <c r="G50" i="30"/>
  <c r="F50" i="30"/>
  <c r="G49" i="30"/>
  <c r="F49" i="30"/>
  <c r="G48" i="30"/>
  <c r="F48" i="30"/>
  <c r="G47" i="30"/>
  <c r="F47" i="30"/>
  <c r="G46" i="30"/>
  <c r="F46" i="30"/>
  <c r="G45" i="30"/>
  <c r="F45" i="30"/>
  <c r="G44" i="30"/>
  <c r="F44" i="30"/>
  <c r="G43" i="30"/>
  <c r="F43" i="30"/>
  <c r="G42" i="30"/>
  <c r="F42" i="30"/>
  <c r="G41" i="30"/>
  <c r="F41" i="30"/>
  <c r="G40" i="30"/>
  <c r="F40" i="30"/>
  <c r="G39" i="30"/>
  <c r="F39" i="30"/>
  <c r="G38" i="30"/>
  <c r="F38" i="30"/>
  <c r="G37" i="30"/>
  <c r="F37" i="30"/>
  <c r="G36" i="30"/>
  <c r="F36" i="30"/>
  <c r="G35" i="30"/>
  <c r="F35" i="30"/>
  <c r="G34" i="30"/>
  <c r="F34" i="30"/>
  <c r="G33" i="30"/>
  <c r="F33" i="30"/>
  <c r="G32" i="30"/>
  <c r="F32" i="30"/>
  <c r="G31" i="30"/>
  <c r="F31" i="30"/>
  <c r="G30" i="30"/>
  <c r="F30" i="30"/>
  <c r="G29" i="30"/>
  <c r="F29" i="30"/>
  <c r="G28" i="30"/>
  <c r="F28" i="30"/>
  <c r="G27" i="30"/>
  <c r="F27" i="30"/>
  <c r="G26" i="30"/>
  <c r="F26" i="30"/>
  <c r="G21" i="30"/>
  <c r="F21" i="30"/>
  <c r="G20" i="30"/>
  <c r="F20" i="30"/>
  <c r="G19" i="30"/>
  <c r="F19" i="30"/>
  <c r="G18" i="30"/>
  <c r="F18" i="30"/>
  <c r="G14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G3" i="30"/>
  <c r="F3" i="30"/>
  <c r="G84" i="29"/>
  <c r="F84" i="29"/>
  <c r="G83" i="29"/>
  <c r="F83" i="29"/>
  <c r="G82" i="29"/>
  <c r="F82" i="29"/>
  <c r="G81" i="29"/>
  <c r="F81" i="29"/>
  <c r="G80" i="29"/>
  <c r="F80" i="29"/>
  <c r="G79" i="29"/>
  <c r="F79" i="29"/>
  <c r="G78" i="29"/>
  <c r="F78" i="29"/>
  <c r="G77" i="29"/>
  <c r="F77" i="29"/>
  <c r="G76" i="29"/>
  <c r="F76" i="29"/>
  <c r="G75" i="29"/>
  <c r="F75" i="29"/>
  <c r="G74" i="29"/>
  <c r="F74" i="29"/>
  <c r="G73" i="29"/>
  <c r="F73" i="29"/>
  <c r="G72" i="29"/>
  <c r="F72" i="29"/>
  <c r="G71" i="29"/>
  <c r="F71" i="29"/>
  <c r="G70" i="29"/>
  <c r="F70" i="29"/>
  <c r="G69" i="29"/>
  <c r="F69" i="29"/>
  <c r="G68" i="29"/>
  <c r="F68" i="29"/>
  <c r="G67" i="29"/>
  <c r="F67" i="29"/>
  <c r="G66" i="29"/>
  <c r="F66" i="29"/>
  <c r="G65" i="29"/>
  <c r="F65" i="29"/>
  <c r="G64" i="29"/>
  <c r="F64" i="29"/>
  <c r="G63" i="29"/>
  <c r="F63" i="29"/>
  <c r="G62" i="29"/>
  <c r="F62" i="29"/>
  <c r="G61" i="29"/>
  <c r="F61" i="29"/>
  <c r="G60" i="29"/>
  <c r="F60" i="29"/>
  <c r="G59" i="29"/>
  <c r="F59" i="29"/>
  <c r="G58" i="29"/>
  <c r="F58" i="29"/>
  <c r="G57" i="29"/>
  <c r="F57" i="29"/>
  <c r="G56" i="29"/>
  <c r="F56" i="29"/>
  <c r="G55" i="29"/>
  <c r="F55" i="29"/>
  <c r="G54" i="29"/>
  <c r="F54" i="29"/>
  <c r="G53" i="29"/>
  <c r="F53" i="29"/>
  <c r="G52" i="29"/>
  <c r="F52" i="29"/>
  <c r="G51" i="29"/>
  <c r="F51" i="29"/>
  <c r="G50" i="29"/>
  <c r="F50" i="29"/>
  <c r="G49" i="29"/>
  <c r="F49" i="29"/>
  <c r="G48" i="29"/>
  <c r="F48" i="29"/>
  <c r="G47" i="29"/>
  <c r="F47" i="29"/>
  <c r="G46" i="29"/>
  <c r="F46" i="29"/>
  <c r="G45" i="29"/>
  <c r="F45" i="29"/>
  <c r="G44" i="29"/>
  <c r="F44" i="29"/>
  <c r="G43" i="29"/>
  <c r="F43" i="29"/>
  <c r="G42" i="29"/>
  <c r="F42" i="29"/>
  <c r="G41" i="29"/>
  <c r="F41" i="29"/>
  <c r="G40" i="29"/>
  <c r="F40" i="29"/>
  <c r="G39" i="29"/>
  <c r="F39" i="29"/>
  <c r="G38" i="29"/>
  <c r="F38" i="29"/>
  <c r="G37" i="29"/>
  <c r="F37" i="29"/>
  <c r="G36" i="29"/>
  <c r="F36" i="29"/>
  <c r="G35" i="29"/>
  <c r="F35" i="29"/>
  <c r="G34" i="29"/>
  <c r="F34" i="29"/>
  <c r="G33" i="29"/>
  <c r="F33" i="29"/>
  <c r="G32" i="29"/>
  <c r="F32" i="29"/>
  <c r="G31" i="29"/>
  <c r="F31" i="29"/>
  <c r="G30" i="29"/>
  <c r="F30" i="29"/>
  <c r="G29" i="29"/>
  <c r="F29" i="29"/>
  <c r="G28" i="29"/>
  <c r="F28" i="29"/>
  <c r="G27" i="29"/>
  <c r="F27" i="29"/>
  <c r="G26" i="29"/>
  <c r="F26" i="29"/>
  <c r="G21" i="29"/>
  <c r="F21" i="29"/>
  <c r="G20" i="29"/>
  <c r="F20" i="29"/>
  <c r="G19" i="29"/>
  <c r="F19" i="29"/>
  <c r="G18" i="29"/>
  <c r="F18" i="29"/>
  <c r="G14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G3" i="29"/>
  <c r="F3" i="29"/>
  <c r="G84" i="28"/>
  <c r="F84" i="28"/>
  <c r="G83" i="28"/>
  <c r="F83" i="28"/>
  <c r="G82" i="28"/>
  <c r="F82" i="28"/>
  <c r="G81" i="28"/>
  <c r="F81" i="28"/>
  <c r="G80" i="28"/>
  <c r="F80" i="28"/>
  <c r="G79" i="28"/>
  <c r="F79" i="28"/>
  <c r="G78" i="28"/>
  <c r="F78" i="28"/>
  <c r="G77" i="28"/>
  <c r="F77" i="28"/>
  <c r="G76" i="28"/>
  <c r="F76" i="28"/>
  <c r="G75" i="28"/>
  <c r="F75" i="28"/>
  <c r="G74" i="28"/>
  <c r="F74" i="28"/>
  <c r="G73" i="28"/>
  <c r="F73" i="28"/>
  <c r="G72" i="28"/>
  <c r="F72" i="28"/>
  <c r="G71" i="28"/>
  <c r="F71" i="28"/>
  <c r="G70" i="28"/>
  <c r="F70" i="28"/>
  <c r="G69" i="28"/>
  <c r="F69" i="28"/>
  <c r="G68" i="28"/>
  <c r="F68" i="28"/>
  <c r="G67" i="28"/>
  <c r="F67" i="28"/>
  <c r="G66" i="28"/>
  <c r="F66" i="28"/>
  <c r="G65" i="28"/>
  <c r="F65" i="28"/>
  <c r="G64" i="28"/>
  <c r="F64" i="28"/>
  <c r="G63" i="28"/>
  <c r="F63" i="28"/>
  <c r="G62" i="28"/>
  <c r="F62" i="28"/>
  <c r="G61" i="28"/>
  <c r="F61" i="28"/>
  <c r="G60" i="28"/>
  <c r="F60" i="28"/>
  <c r="G59" i="28"/>
  <c r="F59" i="28"/>
  <c r="G58" i="28"/>
  <c r="F58" i="28"/>
  <c r="G57" i="28"/>
  <c r="F57" i="28"/>
  <c r="G56" i="28"/>
  <c r="F56" i="28"/>
  <c r="G55" i="28"/>
  <c r="F55" i="28"/>
  <c r="G54" i="28"/>
  <c r="F54" i="28"/>
  <c r="G53" i="28"/>
  <c r="F53" i="28"/>
  <c r="G52" i="28"/>
  <c r="F52" i="28"/>
  <c r="G51" i="28"/>
  <c r="F51" i="28"/>
  <c r="G50" i="28"/>
  <c r="F50" i="28"/>
  <c r="G49" i="28"/>
  <c r="F49" i="28"/>
  <c r="G48" i="28"/>
  <c r="F48" i="28"/>
  <c r="G47" i="28"/>
  <c r="F47" i="28"/>
  <c r="G46" i="28"/>
  <c r="F46" i="28"/>
  <c r="G45" i="28"/>
  <c r="F45" i="28"/>
  <c r="G44" i="28"/>
  <c r="F44" i="28"/>
  <c r="G43" i="28"/>
  <c r="F43" i="28"/>
  <c r="G42" i="28"/>
  <c r="F42" i="28"/>
  <c r="G41" i="28"/>
  <c r="F41" i="28"/>
  <c r="G40" i="28"/>
  <c r="F40" i="28"/>
  <c r="G39" i="28"/>
  <c r="F39" i="28"/>
  <c r="G38" i="28"/>
  <c r="F38" i="28"/>
  <c r="G37" i="28"/>
  <c r="F37" i="28"/>
  <c r="G36" i="28"/>
  <c r="F36" i="28"/>
  <c r="G35" i="28"/>
  <c r="F35" i="28"/>
  <c r="G34" i="28"/>
  <c r="F34" i="28"/>
  <c r="G33" i="28"/>
  <c r="F33" i="28"/>
  <c r="G32" i="28"/>
  <c r="F32" i="28"/>
  <c r="G31" i="28"/>
  <c r="F31" i="28"/>
  <c r="G30" i="28"/>
  <c r="F30" i="28"/>
  <c r="G29" i="28"/>
  <c r="F29" i="28"/>
  <c r="G28" i="28"/>
  <c r="F28" i="28"/>
  <c r="G27" i="28"/>
  <c r="F27" i="28"/>
  <c r="G26" i="28"/>
  <c r="F26" i="28"/>
  <c r="G21" i="28"/>
  <c r="F21" i="28"/>
  <c r="G20" i="28"/>
  <c r="F20" i="28"/>
  <c r="G19" i="28"/>
  <c r="F19" i="28"/>
  <c r="G18" i="28"/>
  <c r="F18" i="28"/>
  <c r="G14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G3" i="28"/>
  <c r="F3" i="28"/>
  <c r="G84" i="27"/>
  <c r="F84" i="27"/>
  <c r="G83" i="27"/>
  <c r="F83" i="27"/>
  <c r="G82" i="27"/>
  <c r="F82" i="27"/>
  <c r="G81" i="27"/>
  <c r="F81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1" i="27"/>
  <c r="F21" i="27"/>
  <c r="G20" i="27"/>
  <c r="F20" i="27"/>
  <c r="G19" i="27"/>
  <c r="F19" i="27"/>
  <c r="G18" i="27"/>
  <c r="F18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1" i="26"/>
  <c r="F21" i="26"/>
  <c r="G20" i="26"/>
  <c r="F20" i="26"/>
  <c r="G19" i="26"/>
  <c r="F19" i="26"/>
  <c r="G18" i="26"/>
  <c r="F18" i="26"/>
  <c r="G14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G3" i="26"/>
  <c r="F3" i="26"/>
  <c r="G84" i="25"/>
  <c r="F84" i="25"/>
  <c r="G83" i="25"/>
  <c r="F83" i="25"/>
  <c r="G82" i="25"/>
  <c r="F82" i="25"/>
  <c r="G81" i="25"/>
  <c r="F81" i="25"/>
  <c r="G80" i="25"/>
  <c r="F80" i="25"/>
  <c r="G79" i="25"/>
  <c r="F79" i="25"/>
  <c r="G78" i="25"/>
  <c r="F78" i="25"/>
  <c r="G77" i="25"/>
  <c r="F77" i="25"/>
  <c r="G76" i="25"/>
  <c r="F76" i="25"/>
  <c r="G75" i="25"/>
  <c r="F75" i="25"/>
  <c r="G74" i="25"/>
  <c r="F74" i="25"/>
  <c r="G73" i="25"/>
  <c r="F73" i="25"/>
  <c r="G72" i="25"/>
  <c r="F72" i="25"/>
  <c r="G71" i="25"/>
  <c r="F71" i="25"/>
  <c r="G70" i="25"/>
  <c r="F70" i="25"/>
  <c r="G69" i="25"/>
  <c r="F69" i="25"/>
  <c r="G68" i="25"/>
  <c r="F68" i="25"/>
  <c r="G67" i="25"/>
  <c r="F67" i="25"/>
  <c r="G66" i="25"/>
  <c r="F66" i="25"/>
  <c r="G65" i="25"/>
  <c r="F65" i="25"/>
  <c r="G64" i="25"/>
  <c r="F64" i="25"/>
  <c r="G63" i="25"/>
  <c r="F63" i="25"/>
  <c r="G62" i="25"/>
  <c r="F62" i="25"/>
  <c r="G61" i="25"/>
  <c r="F61" i="25"/>
  <c r="G60" i="25"/>
  <c r="F60" i="25"/>
  <c r="G59" i="25"/>
  <c r="F59" i="25"/>
  <c r="G58" i="25"/>
  <c r="F58" i="25"/>
  <c r="G57" i="25"/>
  <c r="F57" i="25"/>
  <c r="G56" i="25"/>
  <c r="F56" i="25"/>
  <c r="G55" i="25"/>
  <c r="F55" i="25"/>
  <c r="G54" i="25"/>
  <c r="F54" i="25"/>
  <c r="G53" i="25"/>
  <c r="F53" i="25"/>
  <c r="G52" i="25"/>
  <c r="F52" i="25"/>
  <c r="G51" i="25"/>
  <c r="F51" i="25"/>
  <c r="G50" i="25"/>
  <c r="F50" i="25"/>
  <c r="G49" i="25"/>
  <c r="F49" i="25"/>
  <c r="G48" i="25"/>
  <c r="F48" i="25"/>
  <c r="G47" i="25"/>
  <c r="F47" i="25"/>
  <c r="G46" i="25"/>
  <c r="F46" i="25"/>
  <c r="G45" i="25"/>
  <c r="F45" i="25"/>
  <c r="G44" i="25"/>
  <c r="F44" i="25"/>
  <c r="G43" i="25"/>
  <c r="F43" i="25"/>
  <c r="G42" i="25"/>
  <c r="F42" i="25"/>
  <c r="G41" i="25"/>
  <c r="F41" i="25"/>
  <c r="G40" i="25"/>
  <c r="F40" i="25"/>
  <c r="G39" i="25"/>
  <c r="F39" i="25"/>
  <c r="G38" i="25"/>
  <c r="F38" i="25"/>
  <c r="G37" i="25"/>
  <c r="F37" i="25"/>
  <c r="G36" i="25"/>
  <c r="F36" i="25"/>
  <c r="G35" i="25"/>
  <c r="F35" i="25"/>
  <c r="G34" i="25"/>
  <c r="F34" i="25"/>
  <c r="G33" i="25"/>
  <c r="F33" i="25"/>
  <c r="G32" i="25"/>
  <c r="F32" i="25"/>
  <c r="G31" i="25"/>
  <c r="F31" i="25"/>
  <c r="G30" i="25"/>
  <c r="F30" i="25"/>
  <c r="G29" i="25"/>
  <c r="F29" i="25"/>
  <c r="G28" i="25"/>
  <c r="F28" i="25"/>
  <c r="G27" i="25"/>
  <c r="F27" i="25"/>
  <c r="G26" i="25"/>
  <c r="F26" i="25"/>
  <c r="G21" i="25"/>
  <c r="F21" i="25"/>
  <c r="G20" i="25"/>
  <c r="F20" i="25"/>
  <c r="G19" i="25"/>
  <c r="F19" i="25"/>
  <c r="G18" i="25"/>
  <c r="F18" i="25"/>
  <c r="G14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G3" i="25"/>
  <c r="F3" i="25"/>
  <c r="G84" i="43"/>
  <c r="F84" i="43"/>
  <c r="G83" i="43"/>
  <c r="F83" i="43"/>
  <c r="G82" i="43"/>
  <c r="F82" i="43"/>
  <c r="G81" i="43"/>
  <c r="F81" i="43"/>
  <c r="G80" i="43"/>
  <c r="F80" i="43"/>
  <c r="G79" i="43"/>
  <c r="F79" i="43"/>
  <c r="G78" i="43"/>
  <c r="F78" i="43"/>
  <c r="G77" i="43"/>
  <c r="F77" i="43"/>
  <c r="G76" i="43"/>
  <c r="F76" i="43"/>
  <c r="G75" i="43"/>
  <c r="F75" i="43"/>
  <c r="G74" i="43"/>
  <c r="F74" i="43"/>
  <c r="G73" i="43"/>
  <c r="F73" i="43"/>
  <c r="G72" i="43"/>
  <c r="F72" i="43"/>
  <c r="G71" i="43"/>
  <c r="F71" i="43"/>
  <c r="G70" i="43"/>
  <c r="F70" i="43"/>
  <c r="G69" i="43"/>
  <c r="F69" i="43"/>
  <c r="G68" i="43"/>
  <c r="F68" i="43"/>
  <c r="G67" i="43"/>
  <c r="F67" i="43"/>
  <c r="G66" i="43"/>
  <c r="F66" i="43"/>
  <c r="G65" i="43"/>
  <c r="F65" i="43"/>
  <c r="G64" i="43"/>
  <c r="F64" i="43"/>
  <c r="G63" i="43"/>
  <c r="F63" i="43"/>
  <c r="G62" i="43"/>
  <c r="F62" i="43"/>
  <c r="G61" i="43"/>
  <c r="F61" i="43"/>
  <c r="G60" i="43"/>
  <c r="F60" i="43"/>
  <c r="G59" i="43"/>
  <c r="F59" i="43"/>
  <c r="G58" i="43"/>
  <c r="F58" i="43"/>
  <c r="G57" i="43"/>
  <c r="F57" i="43"/>
  <c r="G56" i="43"/>
  <c r="F56" i="43"/>
  <c r="G55" i="43"/>
  <c r="F55" i="43"/>
  <c r="G54" i="43"/>
  <c r="F54" i="43"/>
  <c r="G53" i="43"/>
  <c r="F53" i="43"/>
  <c r="G52" i="43"/>
  <c r="F52" i="43"/>
  <c r="G51" i="43"/>
  <c r="F51" i="43"/>
  <c r="G50" i="43"/>
  <c r="F50" i="43"/>
  <c r="G49" i="43"/>
  <c r="F49" i="43"/>
  <c r="G48" i="43"/>
  <c r="F48" i="43"/>
  <c r="G47" i="43"/>
  <c r="F47" i="43"/>
  <c r="G46" i="43"/>
  <c r="F46" i="43"/>
  <c r="G45" i="43"/>
  <c r="F45" i="43"/>
  <c r="G44" i="43"/>
  <c r="F44" i="43"/>
  <c r="G43" i="43"/>
  <c r="F43" i="43"/>
  <c r="G42" i="43"/>
  <c r="F42" i="43"/>
  <c r="G41" i="43"/>
  <c r="F41" i="43"/>
  <c r="G40" i="43"/>
  <c r="F40" i="43"/>
  <c r="G39" i="43"/>
  <c r="F39" i="43"/>
  <c r="G38" i="43"/>
  <c r="F38" i="43"/>
  <c r="G37" i="43"/>
  <c r="F37" i="43"/>
  <c r="G36" i="43"/>
  <c r="F36" i="43"/>
  <c r="G35" i="43"/>
  <c r="F35" i="43"/>
  <c r="G34" i="43"/>
  <c r="F34" i="43"/>
  <c r="G33" i="43"/>
  <c r="F33" i="43"/>
  <c r="G32" i="43"/>
  <c r="F32" i="43"/>
  <c r="G31" i="43"/>
  <c r="F31" i="43"/>
  <c r="G30" i="43"/>
  <c r="F30" i="43"/>
  <c r="G29" i="43"/>
  <c r="F29" i="43"/>
  <c r="G28" i="43"/>
  <c r="F28" i="43"/>
  <c r="G27" i="43"/>
  <c r="F27" i="43"/>
  <c r="G26" i="43"/>
  <c r="F26" i="43"/>
  <c r="G21" i="43"/>
  <c r="F21" i="43"/>
  <c r="G20" i="43"/>
  <c r="F20" i="43"/>
  <c r="G19" i="43"/>
  <c r="F19" i="43"/>
  <c r="G18" i="43"/>
  <c r="F18" i="43"/>
  <c r="G14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G3" i="43"/>
  <c r="F3" i="43"/>
  <c r="G84" i="23"/>
  <c r="F84" i="23"/>
  <c r="G83" i="23"/>
  <c r="F83" i="23"/>
  <c r="G82" i="23"/>
  <c r="F82" i="23"/>
  <c r="G81" i="23"/>
  <c r="F81" i="23"/>
  <c r="G80" i="23"/>
  <c r="F80" i="23"/>
  <c r="G79" i="23"/>
  <c r="F79" i="23"/>
  <c r="G78" i="23"/>
  <c r="F78" i="23"/>
  <c r="G77" i="23"/>
  <c r="F77" i="23"/>
  <c r="G76" i="23"/>
  <c r="F76" i="23"/>
  <c r="G75" i="23"/>
  <c r="F75" i="23"/>
  <c r="G74" i="23"/>
  <c r="F74" i="23"/>
  <c r="G73" i="23"/>
  <c r="F73" i="23"/>
  <c r="G72" i="23"/>
  <c r="F72" i="23"/>
  <c r="G71" i="23"/>
  <c r="F71" i="23"/>
  <c r="G70" i="23"/>
  <c r="F70" i="23"/>
  <c r="G69" i="23"/>
  <c r="F69" i="23"/>
  <c r="G68" i="23"/>
  <c r="F68" i="23"/>
  <c r="G67" i="23"/>
  <c r="F67" i="23"/>
  <c r="G66" i="23"/>
  <c r="F66" i="23"/>
  <c r="G65" i="23"/>
  <c r="F65" i="23"/>
  <c r="G64" i="23"/>
  <c r="F64" i="23"/>
  <c r="G63" i="23"/>
  <c r="F63" i="23"/>
  <c r="G62" i="23"/>
  <c r="F62" i="23"/>
  <c r="G61" i="23"/>
  <c r="F61" i="23"/>
  <c r="G60" i="23"/>
  <c r="F60" i="23"/>
  <c r="G59" i="23"/>
  <c r="F59" i="23"/>
  <c r="G58" i="23"/>
  <c r="F58" i="23"/>
  <c r="G57" i="23"/>
  <c r="F57" i="23"/>
  <c r="G56" i="23"/>
  <c r="F56" i="23"/>
  <c r="G55" i="23"/>
  <c r="F55" i="23"/>
  <c r="G54" i="23"/>
  <c r="F54" i="23"/>
  <c r="G53" i="23"/>
  <c r="F53" i="23"/>
  <c r="G52" i="23"/>
  <c r="F52" i="23"/>
  <c r="G51" i="23"/>
  <c r="F51" i="23"/>
  <c r="G50" i="23"/>
  <c r="F50" i="23"/>
  <c r="G49" i="23"/>
  <c r="F49" i="23"/>
  <c r="G48" i="23"/>
  <c r="F48" i="23"/>
  <c r="G47" i="23"/>
  <c r="F47" i="23"/>
  <c r="G46" i="23"/>
  <c r="F46" i="23"/>
  <c r="G45" i="23"/>
  <c r="F45" i="23"/>
  <c r="G44" i="23"/>
  <c r="F44" i="23"/>
  <c r="G43" i="23"/>
  <c r="F43" i="23"/>
  <c r="G42" i="23"/>
  <c r="F42" i="23"/>
  <c r="G41" i="23"/>
  <c r="F41" i="23"/>
  <c r="G40" i="23"/>
  <c r="F40" i="23"/>
  <c r="G39" i="23"/>
  <c r="F39" i="23"/>
  <c r="G38" i="23"/>
  <c r="F38" i="23"/>
  <c r="G37" i="23"/>
  <c r="F37" i="23"/>
  <c r="G36" i="23"/>
  <c r="F36" i="23"/>
  <c r="G35" i="23"/>
  <c r="F35" i="23"/>
  <c r="G34" i="23"/>
  <c r="F34" i="23"/>
  <c r="G33" i="23"/>
  <c r="F33" i="23"/>
  <c r="G32" i="23"/>
  <c r="F32" i="23"/>
  <c r="G31" i="23"/>
  <c r="F31" i="23"/>
  <c r="G30" i="23"/>
  <c r="F30" i="23"/>
  <c r="G29" i="23"/>
  <c r="F29" i="23"/>
  <c r="G28" i="23"/>
  <c r="F28" i="23"/>
  <c r="G27" i="23"/>
  <c r="F27" i="23"/>
  <c r="G26" i="23"/>
  <c r="F26" i="23"/>
  <c r="G21" i="23"/>
  <c r="F21" i="23"/>
  <c r="G20" i="23"/>
  <c r="F20" i="23"/>
  <c r="G19" i="23"/>
  <c r="F19" i="23"/>
  <c r="G18" i="23"/>
  <c r="F18" i="23"/>
  <c r="G14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G3" i="23"/>
  <c r="F3" i="23"/>
  <c r="G84" i="22"/>
  <c r="F84" i="22"/>
  <c r="G83" i="22"/>
  <c r="F83" i="22"/>
  <c r="G82" i="22"/>
  <c r="F82" i="22"/>
  <c r="G81" i="22"/>
  <c r="F81" i="22"/>
  <c r="G80" i="22"/>
  <c r="F80" i="22"/>
  <c r="G79" i="22"/>
  <c r="F79" i="22"/>
  <c r="G78" i="22"/>
  <c r="F78" i="22"/>
  <c r="G77" i="22"/>
  <c r="F77" i="22"/>
  <c r="G76" i="22"/>
  <c r="F76" i="22"/>
  <c r="G75" i="22"/>
  <c r="F75" i="22"/>
  <c r="G74" i="22"/>
  <c r="F74" i="22"/>
  <c r="G73" i="22"/>
  <c r="F73" i="22"/>
  <c r="G72" i="22"/>
  <c r="F72" i="22"/>
  <c r="G71" i="22"/>
  <c r="F71" i="22"/>
  <c r="G70" i="22"/>
  <c r="F70" i="22"/>
  <c r="G69" i="22"/>
  <c r="F69" i="22"/>
  <c r="G68" i="22"/>
  <c r="F68" i="22"/>
  <c r="G67" i="22"/>
  <c r="F67" i="22"/>
  <c r="G66" i="22"/>
  <c r="F66" i="22"/>
  <c r="G65" i="22"/>
  <c r="F65" i="22"/>
  <c r="G64" i="22"/>
  <c r="F64" i="22"/>
  <c r="G63" i="22"/>
  <c r="F63" i="22"/>
  <c r="G62" i="22"/>
  <c r="F62" i="22"/>
  <c r="G61" i="22"/>
  <c r="F61" i="22"/>
  <c r="G60" i="22"/>
  <c r="F60" i="22"/>
  <c r="G59" i="22"/>
  <c r="F59" i="22"/>
  <c r="G58" i="22"/>
  <c r="F58" i="22"/>
  <c r="G57" i="22"/>
  <c r="F57" i="22"/>
  <c r="G56" i="22"/>
  <c r="F56" i="22"/>
  <c r="G55" i="22"/>
  <c r="F55" i="22"/>
  <c r="G54" i="22"/>
  <c r="F54" i="22"/>
  <c r="G53" i="22"/>
  <c r="F53" i="22"/>
  <c r="G52" i="22"/>
  <c r="F52" i="22"/>
  <c r="G51" i="22"/>
  <c r="F51" i="22"/>
  <c r="G50" i="22"/>
  <c r="F50" i="22"/>
  <c r="G49" i="22"/>
  <c r="F49" i="22"/>
  <c r="G48" i="22"/>
  <c r="F48" i="22"/>
  <c r="G47" i="22"/>
  <c r="F47" i="22"/>
  <c r="G46" i="22"/>
  <c r="F46" i="22"/>
  <c r="G45" i="22"/>
  <c r="F45" i="22"/>
  <c r="G44" i="22"/>
  <c r="F44" i="22"/>
  <c r="G43" i="22"/>
  <c r="F43" i="22"/>
  <c r="G42" i="22"/>
  <c r="F42" i="22"/>
  <c r="G41" i="22"/>
  <c r="F41" i="22"/>
  <c r="G40" i="22"/>
  <c r="F40" i="22"/>
  <c r="G39" i="22"/>
  <c r="F39" i="22"/>
  <c r="G38" i="22"/>
  <c r="F38" i="22"/>
  <c r="G37" i="22"/>
  <c r="F37" i="22"/>
  <c r="G36" i="22"/>
  <c r="F36" i="22"/>
  <c r="G35" i="22"/>
  <c r="F35" i="22"/>
  <c r="G34" i="22"/>
  <c r="F34" i="22"/>
  <c r="G33" i="22"/>
  <c r="F33" i="22"/>
  <c r="G32" i="22"/>
  <c r="F32" i="22"/>
  <c r="G31" i="22"/>
  <c r="F31" i="22"/>
  <c r="G30" i="22"/>
  <c r="F30" i="22"/>
  <c r="G29" i="22"/>
  <c r="F29" i="22"/>
  <c r="G28" i="22"/>
  <c r="F28" i="22"/>
  <c r="G27" i="22"/>
  <c r="F27" i="22"/>
  <c r="G26" i="22"/>
  <c r="F26" i="22"/>
  <c r="G21" i="22"/>
  <c r="F21" i="22"/>
  <c r="G20" i="22"/>
  <c r="F20" i="22"/>
  <c r="G19" i="22"/>
  <c r="F19" i="22"/>
  <c r="G18" i="22"/>
  <c r="F18" i="22"/>
  <c r="G14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G3" i="22"/>
  <c r="F3" i="22"/>
  <c r="G84" i="21"/>
  <c r="F84" i="21"/>
  <c r="G83" i="21"/>
  <c r="F83" i="21"/>
  <c r="G82" i="21"/>
  <c r="F82" i="21"/>
  <c r="G81" i="21"/>
  <c r="F81" i="21"/>
  <c r="G80" i="21"/>
  <c r="F80" i="21"/>
  <c r="G79" i="21"/>
  <c r="F79" i="21"/>
  <c r="G78" i="21"/>
  <c r="F78" i="21"/>
  <c r="G77" i="21"/>
  <c r="F77" i="21"/>
  <c r="G76" i="21"/>
  <c r="F76" i="21"/>
  <c r="G75" i="21"/>
  <c r="F75" i="21"/>
  <c r="G74" i="21"/>
  <c r="F74" i="21"/>
  <c r="G73" i="21"/>
  <c r="F73" i="21"/>
  <c r="G72" i="21"/>
  <c r="F72" i="21"/>
  <c r="G71" i="21"/>
  <c r="F71" i="21"/>
  <c r="G70" i="21"/>
  <c r="F70" i="21"/>
  <c r="G69" i="21"/>
  <c r="F69" i="21"/>
  <c r="G68" i="21"/>
  <c r="F68" i="21"/>
  <c r="G67" i="21"/>
  <c r="F67" i="21"/>
  <c r="G66" i="21"/>
  <c r="F66" i="21"/>
  <c r="G65" i="21"/>
  <c r="F65" i="21"/>
  <c r="G64" i="21"/>
  <c r="F64" i="21"/>
  <c r="G63" i="21"/>
  <c r="F63" i="21"/>
  <c r="G62" i="21"/>
  <c r="F62" i="21"/>
  <c r="G61" i="21"/>
  <c r="F61" i="21"/>
  <c r="G60" i="21"/>
  <c r="F60" i="21"/>
  <c r="G59" i="21"/>
  <c r="F59" i="21"/>
  <c r="G58" i="21"/>
  <c r="F58" i="21"/>
  <c r="G57" i="21"/>
  <c r="F57" i="21"/>
  <c r="G56" i="21"/>
  <c r="F56" i="21"/>
  <c r="G55" i="21"/>
  <c r="F55" i="21"/>
  <c r="G54" i="21"/>
  <c r="F54" i="21"/>
  <c r="G53" i="21"/>
  <c r="F53" i="21"/>
  <c r="G52" i="21"/>
  <c r="F52" i="21"/>
  <c r="G51" i="21"/>
  <c r="F51" i="21"/>
  <c r="G50" i="21"/>
  <c r="F50" i="21"/>
  <c r="G49" i="21"/>
  <c r="F49" i="21"/>
  <c r="G48" i="21"/>
  <c r="F48" i="21"/>
  <c r="G47" i="21"/>
  <c r="F47" i="21"/>
  <c r="G46" i="21"/>
  <c r="F46" i="21"/>
  <c r="G45" i="21"/>
  <c r="F45" i="21"/>
  <c r="G44" i="21"/>
  <c r="F44" i="21"/>
  <c r="G43" i="21"/>
  <c r="F43" i="21"/>
  <c r="G42" i="21"/>
  <c r="F42" i="21"/>
  <c r="G41" i="21"/>
  <c r="F41" i="21"/>
  <c r="G40" i="21"/>
  <c r="F40" i="21"/>
  <c r="G39" i="21"/>
  <c r="F39" i="21"/>
  <c r="G38" i="21"/>
  <c r="F38" i="21"/>
  <c r="G37" i="21"/>
  <c r="F37" i="21"/>
  <c r="G36" i="21"/>
  <c r="F36" i="21"/>
  <c r="G35" i="21"/>
  <c r="F35" i="21"/>
  <c r="G34" i="21"/>
  <c r="F34" i="21"/>
  <c r="G33" i="21"/>
  <c r="F33" i="21"/>
  <c r="G32" i="21"/>
  <c r="F32" i="21"/>
  <c r="G31" i="21"/>
  <c r="F31" i="21"/>
  <c r="G30" i="21"/>
  <c r="F30" i="21"/>
  <c r="G29" i="21"/>
  <c r="F29" i="21"/>
  <c r="G28" i="21"/>
  <c r="F28" i="21"/>
  <c r="G27" i="21"/>
  <c r="F27" i="21"/>
  <c r="G26" i="21"/>
  <c r="F26" i="21"/>
  <c r="G21" i="21"/>
  <c r="F21" i="21"/>
  <c r="G20" i="21"/>
  <c r="F20" i="21"/>
  <c r="G19" i="21"/>
  <c r="F19" i="21"/>
  <c r="G18" i="21"/>
  <c r="F18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84" i="20"/>
  <c r="F84" i="20"/>
  <c r="G83" i="20"/>
  <c r="F83" i="20"/>
  <c r="G82" i="20"/>
  <c r="F82" i="20"/>
  <c r="G81" i="20"/>
  <c r="F81" i="20"/>
  <c r="G80" i="20"/>
  <c r="F80" i="20"/>
  <c r="G79" i="20"/>
  <c r="F79" i="20"/>
  <c r="G78" i="20"/>
  <c r="F78" i="20"/>
  <c r="G77" i="20"/>
  <c r="F77" i="20"/>
  <c r="G76" i="20"/>
  <c r="F76" i="20"/>
  <c r="G75" i="20"/>
  <c r="F75" i="20"/>
  <c r="G74" i="20"/>
  <c r="F74" i="20"/>
  <c r="G73" i="20"/>
  <c r="F73" i="20"/>
  <c r="G72" i="20"/>
  <c r="F72" i="20"/>
  <c r="G71" i="20"/>
  <c r="F71" i="20"/>
  <c r="G70" i="20"/>
  <c r="F70" i="20"/>
  <c r="G69" i="20"/>
  <c r="F69" i="20"/>
  <c r="G68" i="20"/>
  <c r="F68" i="20"/>
  <c r="G67" i="20"/>
  <c r="F67" i="20"/>
  <c r="G66" i="20"/>
  <c r="F66" i="20"/>
  <c r="G65" i="20"/>
  <c r="F65" i="20"/>
  <c r="G64" i="20"/>
  <c r="F64" i="20"/>
  <c r="G63" i="20"/>
  <c r="F63" i="20"/>
  <c r="G62" i="20"/>
  <c r="F62" i="20"/>
  <c r="G61" i="20"/>
  <c r="F61" i="20"/>
  <c r="G60" i="20"/>
  <c r="F60" i="20"/>
  <c r="G59" i="20"/>
  <c r="F59" i="20"/>
  <c r="G58" i="20"/>
  <c r="F58" i="20"/>
  <c r="G57" i="20"/>
  <c r="F57" i="20"/>
  <c r="G56" i="20"/>
  <c r="F56" i="20"/>
  <c r="G55" i="20"/>
  <c r="F55" i="20"/>
  <c r="G54" i="20"/>
  <c r="F54" i="20"/>
  <c r="G53" i="20"/>
  <c r="F53" i="20"/>
  <c r="G52" i="20"/>
  <c r="F52" i="20"/>
  <c r="G51" i="20"/>
  <c r="F51" i="20"/>
  <c r="G50" i="20"/>
  <c r="F50" i="20"/>
  <c r="G49" i="20"/>
  <c r="F49" i="20"/>
  <c r="G48" i="20"/>
  <c r="F48" i="20"/>
  <c r="G47" i="20"/>
  <c r="F47" i="20"/>
  <c r="G46" i="20"/>
  <c r="F46" i="20"/>
  <c r="G45" i="20"/>
  <c r="F45" i="20"/>
  <c r="G44" i="20"/>
  <c r="F44" i="20"/>
  <c r="G43" i="20"/>
  <c r="F43" i="20"/>
  <c r="G42" i="20"/>
  <c r="F42" i="20"/>
  <c r="G41" i="20"/>
  <c r="F41" i="20"/>
  <c r="G40" i="20"/>
  <c r="F40" i="20"/>
  <c r="G39" i="20"/>
  <c r="F39" i="20"/>
  <c r="G38" i="20"/>
  <c r="F38" i="20"/>
  <c r="G37" i="20"/>
  <c r="F37" i="20"/>
  <c r="G36" i="20"/>
  <c r="F36" i="20"/>
  <c r="G35" i="20"/>
  <c r="F35" i="20"/>
  <c r="G34" i="20"/>
  <c r="F34" i="20"/>
  <c r="G33" i="20"/>
  <c r="F33" i="20"/>
  <c r="G32" i="20"/>
  <c r="F32" i="20"/>
  <c r="G31" i="20"/>
  <c r="F31" i="20"/>
  <c r="G30" i="20"/>
  <c r="F30" i="20"/>
  <c r="G29" i="20"/>
  <c r="F29" i="20"/>
  <c r="G28" i="20"/>
  <c r="F28" i="20"/>
  <c r="G27" i="20"/>
  <c r="F27" i="20"/>
  <c r="G26" i="20"/>
  <c r="F26" i="20"/>
  <c r="G21" i="20"/>
  <c r="F21" i="20"/>
  <c r="G20" i="20"/>
  <c r="F20" i="20"/>
  <c r="G19" i="20"/>
  <c r="F19" i="20"/>
  <c r="G18" i="20"/>
  <c r="F18" i="20"/>
  <c r="G14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G3" i="20"/>
  <c r="F3" i="20"/>
  <c r="G84" i="19"/>
  <c r="F84" i="19"/>
  <c r="G83" i="19"/>
  <c r="F83" i="19"/>
  <c r="G82" i="19"/>
  <c r="F82" i="19"/>
  <c r="G81" i="19"/>
  <c r="F81" i="19"/>
  <c r="G80" i="19"/>
  <c r="F80" i="19"/>
  <c r="G79" i="19"/>
  <c r="F79" i="19"/>
  <c r="G78" i="19"/>
  <c r="F78" i="19"/>
  <c r="G77" i="19"/>
  <c r="F77" i="19"/>
  <c r="G76" i="19"/>
  <c r="F76" i="19"/>
  <c r="G75" i="19"/>
  <c r="F75" i="19"/>
  <c r="G74" i="19"/>
  <c r="F74" i="19"/>
  <c r="G73" i="19"/>
  <c r="F73" i="19"/>
  <c r="G72" i="19"/>
  <c r="F72" i="19"/>
  <c r="G71" i="19"/>
  <c r="F71" i="19"/>
  <c r="G70" i="19"/>
  <c r="F70" i="19"/>
  <c r="G69" i="19"/>
  <c r="F69" i="19"/>
  <c r="G68" i="19"/>
  <c r="F68" i="19"/>
  <c r="G67" i="19"/>
  <c r="F67" i="19"/>
  <c r="G66" i="19"/>
  <c r="F66" i="19"/>
  <c r="G65" i="19"/>
  <c r="F65" i="19"/>
  <c r="G64" i="19"/>
  <c r="F64" i="19"/>
  <c r="G63" i="19"/>
  <c r="F63" i="19"/>
  <c r="G62" i="19"/>
  <c r="F62" i="19"/>
  <c r="G61" i="19"/>
  <c r="F61" i="19"/>
  <c r="G60" i="19"/>
  <c r="F60" i="19"/>
  <c r="G59" i="19"/>
  <c r="F59" i="19"/>
  <c r="G58" i="19"/>
  <c r="F58" i="19"/>
  <c r="G57" i="19"/>
  <c r="F57" i="19"/>
  <c r="G56" i="19"/>
  <c r="F56" i="19"/>
  <c r="G55" i="19"/>
  <c r="F55" i="19"/>
  <c r="G54" i="19"/>
  <c r="F54" i="19"/>
  <c r="G53" i="19"/>
  <c r="F53" i="19"/>
  <c r="G52" i="19"/>
  <c r="F52" i="19"/>
  <c r="G51" i="19"/>
  <c r="F51" i="19"/>
  <c r="G50" i="19"/>
  <c r="F50" i="19"/>
  <c r="G49" i="19"/>
  <c r="F49" i="19"/>
  <c r="G48" i="19"/>
  <c r="F48" i="19"/>
  <c r="G47" i="19"/>
  <c r="F47" i="19"/>
  <c r="G46" i="19"/>
  <c r="F46" i="19"/>
  <c r="G45" i="19"/>
  <c r="F45" i="19"/>
  <c r="G44" i="19"/>
  <c r="F44" i="19"/>
  <c r="G43" i="19"/>
  <c r="F43" i="19"/>
  <c r="G42" i="19"/>
  <c r="F42" i="19"/>
  <c r="G41" i="19"/>
  <c r="F41" i="19"/>
  <c r="G40" i="19"/>
  <c r="F40" i="19"/>
  <c r="G39" i="19"/>
  <c r="F39" i="19"/>
  <c r="G38" i="19"/>
  <c r="F38" i="19"/>
  <c r="G37" i="19"/>
  <c r="F37" i="19"/>
  <c r="G36" i="19"/>
  <c r="F36" i="19"/>
  <c r="G35" i="19"/>
  <c r="F35" i="19"/>
  <c r="G34" i="19"/>
  <c r="F34" i="19"/>
  <c r="G33" i="19"/>
  <c r="F33" i="19"/>
  <c r="G32" i="19"/>
  <c r="F32" i="19"/>
  <c r="G31" i="19"/>
  <c r="F31" i="19"/>
  <c r="G30" i="19"/>
  <c r="F30" i="19"/>
  <c r="G29" i="19"/>
  <c r="F29" i="19"/>
  <c r="G28" i="19"/>
  <c r="F28" i="19"/>
  <c r="G27" i="19"/>
  <c r="F27" i="19"/>
  <c r="G26" i="19"/>
  <c r="F26" i="19"/>
  <c r="G21" i="19"/>
  <c r="F21" i="19"/>
  <c r="G20" i="19"/>
  <c r="F20" i="19"/>
  <c r="G19" i="19"/>
  <c r="F19" i="19"/>
  <c r="G18" i="19"/>
  <c r="F18" i="19"/>
  <c r="G14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G3" i="19"/>
  <c r="F3" i="19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G71" i="18"/>
  <c r="F71" i="18"/>
  <c r="G70" i="18"/>
  <c r="F70" i="18"/>
  <c r="G69" i="18"/>
  <c r="F69" i="18"/>
  <c r="G68" i="18"/>
  <c r="F68" i="18"/>
  <c r="G67" i="18"/>
  <c r="F67" i="18"/>
  <c r="G66" i="18"/>
  <c r="F66" i="18"/>
  <c r="G65" i="18"/>
  <c r="F65" i="18"/>
  <c r="G64" i="18"/>
  <c r="F64" i="18"/>
  <c r="G63" i="18"/>
  <c r="F63" i="18"/>
  <c r="G62" i="18"/>
  <c r="F62" i="18"/>
  <c r="G61" i="18"/>
  <c r="F61" i="18"/>
  <c r="G60" i="18"/>
  <c r="F60" i="18"/>
  <c r="G59" i="18"/>
  <c r="F59" i="18"/>
  <c r="G58" i="18"/>
  <c r="F58" i="18"/>
  <c r="G57" i="18"/>
  <c r="F57" i="18"/>
  <c r="G56" i="18"/>
  <c r="F56" i="18"/>
  <c r="G55" i="18"/>
  <c r="F55" i="18"/>
  <c r="G54" i="18"/>
  <c r="F54" i="18"/>
  <c r="G53" i="18"/>
  <c r="F53" i="18"/>
  <c r="G52" i="18"/>
  <c r="F52" i="18"/>
  <c r="G51" i="18"/>
  <c r="F51" i="18"/>
  <c r="G50" i="18"/>
  <c r="F50" i="18"/>
  <c r="G49" i="18"/>
  <c r="F49" i="18"/>
  <c r="G48" i="18"/>
  <c r="F48" i="18"/>
  <c r="G47" i="18"/>
  <c r="F47" i="18"/>
  <c r="G46" i="18"/>
  <c r="F46" i="18"/>
  <c r="G45" i="18"/>
  <c r="F45" i="18"/>
  <c r="G44" i="18"/>
  <c r="F44" i="18"/>
  <c r="G43" i="18"/>
  <c r="F43" i="18"/>
  <c r="G42" i="18"/>
  <c r="F42" i="18"/>
  <c r="G41" i="18"/>
  <c r="F41" i="18"/>
  <c r="G40" i="18"/>
  <c r="F40" i="18"/>
  <c r="G39" i="18"/>
  <c r="F39" i="18"/>
  <c r="G38" i="18"/>
  <c r="F38" i="18"/>
  <c r="G37" i="18"/>
  <c r="F37" i="18"/>
  <c r="G36" i="18"/>
  <c r="F36" i="18"/>
  <c r="G35" i="18"/>
  <c r="F35" i="18"/>
  <c r="G34" i="18"/>
  <c r="F34" i="18"/>
  <c r="G33" i="18"/>
  <c r="F33" i="18"/>
  <c r="G32" i="18"/>
  <c r="F32" i="18"/>
  <c r="G31" i="18"/>
  <c r="F31" i="18"/>
  <c r="G30" i="18"/>
  <c r="F30" i="18"/>
  <c r="G29" i="18"/>
  <c r="F29" i="18"/>
  <c r="G28" i="18"/>
  <c r="F28" i="18"/>
  <c r="G27" i="18"/>
  <c r="F27" i="18"/>
  <c r="G26" i="18"/>
  <c r="F26" i="18"/>
  <c r="G21" i="18"/>
  <c r="F21" i="18"/>
  <c r="G20" i="18"/>
  <c r="F20" i="18"/>
  <c r="G19" i="18"/>
  <c r="F19" i="18"/>
  <c r="G18" i="18"/>
  <c r="F18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G3" i="18"/>
  <c r="F3" i="18"/>
  <c r="G84" i="17"/>
  <c r="F84" i="17"/>
  <c r="G83" i="17"/>
  <c r="F83" i="17"/>
  <c r="G82" i="17"/>
  <c r="F82" i="17"/>
  <c r="G81" i="17"/>
  <c r="F81" i="17"/>
  <c r="G80" i="17"/>
  <c r="F80" i="17"/>
  <c r="G79" i="17"/>
  <c r="F79" i="17"/>
  <c r="G78" i="17"/>
  <c r="F78" i="17"/>
  <c r="G77" i="17"/>
  <c r="F77" i="17"/>
  <c r="G76" i="17"/>
  <c r="F76" i="17"/>
  <c r="G75" i="17"/>
  <c r="F75" i="17"/>
  <c r="G74" i="17"/>
  <c r="F74" i="17"/>
  <c r="G73" i="17"/>
  <c r="F73" i="17"/>
  <c r="G72" i="17"/>
  <c r="F72" i="17"/>
  <c r="G71" i="17"/>
  <c r="F71" i="17"/>
  <c r="G70" i="17"/>
  <c r="F70" i="17"/>
  <c r="G69" i="17"/>
  <c r="F69" i="17"/>
  <c r="G68" i="17"/>
  <c r="F68" i="17"/>
  <c r="G67" i="17"/>
  <c r="F67" i="17"/>
  <c r="G66" i="17"/>
  <c r="F66" i="17"/>
  <c r="G65" i="17"/>
  <c r="F65" i="17"/>
  <c r="G64" i="17"/>
  <c r="F64" i="17"/>
  <c r="G63" i="17"/>
  <c r="F63" i="17"/>
  <c r="G62" i="17"/>
  <c r="F62" i="17"/>
  <c r="G61" i="17"/>
  <c r="F61" i="17"/>
  <c r="G60" i="17"/>
  <c r="F60" i="17"/>
  <c r="G59" i="17"/>
  <c r="F59" i="17"/>
  <c r="G58" i="17"/>
  <c r="F58" i="17"/>
  <c r="G57" i="17"/>
  <c r="F57" i="17"/>
  <c r="G56" i="17"/>
  <c r="F56" i="17"/>
  <c r="G55" i="17"/>
  <c r="F55" i="17"/>
  <c r="G54" i="17"/>
  <c r="F54" i="17"/>
  <c r="G53" i="17"/>
  <c r="F53" i="17"/>
  <c r="G52" i="17"/>
  <c r="F52" i="17"/>
  <c r="G51" i="17"/>
  <c r="F51" i="17"/>
  <c r="G50" i="17"/>
  <c r="F50" i="17"/>
  <c r="G49" i="17"/>
  <c r="F49" i="17"/>
  <c r="G48" i="17"/>
  <c r="F48" i="17"/>
  <c r="G47" i="17"/>
  <c r="F47" i="17"/>
  <c r="G46" i="17"/>
  <c r="F46" i="17"/>
  <c r="G45" i="17"/>
  <c r="F45" i="17"/>
  <c r="G44" i="17"/>
  <c r="F44" i="17"/>
  <c r="G43" i="17"/>
  <c r="F43" i="17"/>
  <c r="G42" i="17"/>
  <c r="F42" i="17"/>
  <c r="G41" i="17"/>
  <c r="F41" i="17"/>
  <c r="G40" i="17"/>
  <c r="F40" i="17"/>
  <c r="G39" i="17"/>
  <c r="F39" i="17"/>
  <c r="G38" i="17"/>
  <c r="F38" i="17"/>
  <c r="G37" i="17"/>
  <c r="F37" i="17"/>
  <c r="G36" i="17"/>
  <c r="F36" i="17"/>
  <c r="G35" i="17"/>
  <c r="F35" i="17"/>
  <c r="G34" i="17"/>
  <c r="F34" i="17"/>
  <c r="G33" i="17"/>
  <c r="F33" i="17"/>
  <c r="G32" i="17"/>
  <c r="F32" i="17"/>
  <c r="G31" i="17"/>
  <c r="F31" i="17"/>
  <c r="G30" i="17"/>
  <c r="F30" i="17"/>
  <c r="G29" i="17"/>
  <c r="F29" i="17"/>
  <c r="G28" i="17"/>
  <c r="F28" i="17"/>
  <c r="G27" i="17"/>
  <c r="F27" i="17"/>
  <c r="G26" i="17"/>
  <c r="F26" i="17"/>
  <c r="G21" i="17"/>
  <c r="F21" i="17"/>
  <c r="G20" i="17"/>
  <c r="F20" i="17"/>
  <c r="G19" i="17"/>
  <c r="F19" i="17"/>
  <c r="G18" i="17"/>
  <c r="F18" i="17"/>
  <c r="G14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G3" i="17"/>
  <c r="F3" i="17"/>
  <c r="G84" i="16"/>
  <c r="F84" i="16"/>
  <c r="G83" i="16"/>
  <c r="F83" i="16"/>
  <c r="G82" i="16"/>
  <c r="F82" i="16"/>
  <c r="G81" i="16"/>
  <c r="F81" i="16"/>
  <c r="G80" i="16"/>
  <c r="F80" i="16"/>
  <c r="G79" i="16"/>
  <c r="F79" i="16"/>
  <c r="G78" i="16"/>
  <c r="F78" i="16"/>
  <c r="G77" i="16"/>
  <c r="F77" i="16"/>
  <c r="G76" i="16"/>
  <c r="F76" i="16"/>
  <c r="G75" i="16"/>
  <c r="F75" i="16"/>
  <c r="G74" i="16"/>
  <c r="F74" i="16"/>
  <c r="G73" i="16"/>
  <c r="F73" i="16"/>
  <c r="G72" i="16"/>
  <c r="F72" i="16"/>
  <c r="G71" i="16"/>
  <c r="F71" i="16"/>
  <c r="G70" i="16"/>
  <c r="F70" i="16"/>
  <c r="G69" i="16"/>
  <c r="F69" i="16"/>
  <c r="G68" i="16"/>
  <c r="F68" i="16"/>
  <c r="G67" i="16"/>
  <c r="F67" i="16"/>
  <c r="G66" i="16"/>
  <c r="F66" i="16"/>
  <c r="G65" i="16"/>
  <c r="F65" i="16"/>
  <c r="G64" i="16"/>
  <c r="F64" i="16"/>
  <c r="G63" i="16"/>
  <c r="F63" i="16"/>
  <c r="G62" i="16"/>
  <c r="F62" i="16"/>
  <c r="G61" i="16"/>
  <c r="F61" i="16"/>
  <c r="G60" i="16"/>
  <c r="F60" i="16"/>
  <c r="G59" i="16"/>
  <c r="F59" i="16"/>
  <c r="G58" i="16"/>
  <c r="F58" i="16"/>
  <c r="G57" i="16"/>
  <c r="F57" i="16"/>
  <c r="G56" i="16"/>
  <c r="F56" i="16"/>
  <c r="G55" i="16"/>
  <c r="F55" i="16"/>
  <c r="G54" i="16"/>
  <c r="F54" i="16"/>
  <c r="G53" i="16"/>
  <c r="F53" i="16"/>
  <c r="G52" i="16"/>
  <c r="F52" i="16"/>
  <c r="G51" i="16"/>
  <c r="F51" i="16"/>
  <c r="G50" i="16"/>
  <c r="F50" i="16"/>
  <c r="G49" i="16"/>
  <c r="F49" i="16"/>
  <c r="G48" i="16"/>
  <c r="F48" i="16"/>
  <c r="G47" i="16"/>
  <c r="F47" i="16"/>
  <c r="G46" i="16"/>
  <c r="F46" i="16"/>
  <c r="G45" i="16"/>
  <c r="F45" i="16"/>
  <c r="G44" i="16"/>
  <c r="F44" i="16"/>
  <c r="G43" i="16"/>
  <c r="F43" i="16"/>
  <c r="G42" i="16"/>
  <c r="F42" i="16"/>
  <c r="G41" i="16"/>
  <c r="F41" i="16"/>
  <c r="G40" i="16"/>
  <c r="F40" i="16"/>
  <c r="G39" i="16"/>
  <c r="F39" i="16"/>
  <c r="G38" i="16"/>
  <c r="F38" i="16"/>
  <c r="G37" i="16"/>
  <c r="F37" i="16"/>
  <c r="G36" i="16"/>
  <c r="F36" i="16"/>
  <c r="G35" i="16"/>
  <c r="F35" i="16"/>
  <c r="G34" i="16"/>
  <c r="F34" i="16"/>
  <c r="G33" i="16"/>
  <c r="F33" i="16"/>
  <c r="G32" i="16"/>
  <c r="F32" i="16"/>
  <c r="G31" i="16"/>
  <c r="F31" i="16"/>
  <c r="G30" i="16"/>
  <c r="F30" i="16"/>
  <c r="G29" i="16"/>
  <c r="F29" i="16"/>
  <c r="G28" i="16"/>
  <c r="F28" i="16"/>
  <c r="G27" i="16"/>
  <c r="F27" i="16"/>
  <c r="G26" i="16"/>
  <c r="F26" i="16"/>
  <c r="G21" i="16"/>
  <c r="F21" i="16"/>
  <c r="G20" i="16"/>
  <c r="F20" i="16"/>
  <c r="G19" i="16"/>
  <c r="F19" i="16"/>
  <c r="G18" i="16"/>
  <c r="F18" i="16"/>
  <c r="G14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G3" i="16"/>
  <c r="F3" i="16"/>
  <c r="G84" i="15"/>
  <c r="F84" i="15"/>
  <c r="G83" i="15"/>
  <c r="F83" i="15"/>
  <c r="G82" i="15"/>
  <c r="F82" i="15"/>
  <c r="G81" i="15"/>
  <c r="F81" i="15"/>
  <c r="G80" i="15"/>
  <c r="F80" i="15"/>
  <c r="G79" i="15"/>
  <c r="F79" i="15"/>
  <c r="G78" i="15"/>
  <c r="F78" i="15"/>
  <c r="G77" i="15"/>
  <c r="F77" i="15"/>
  <c r="G76" i="15"/>
  <c r="F76" i="15"/>
  <c r="G75" i="15"/>
  <c r="F75" i="15"/>
  <c r="G74" i="15"/>
  <c r="F74" i="15"/>
  <c r="G73" i="15"/>
  <c r="F73" i="15"/>
  <c r="G72" i="15"/>
  <c r="F72" i="15"/>
  <c r="G71" i="15"/>
  <c r="F71" i="15"/>
  <c r="G70" i="15"/>
  <c r="F70" i="15"/>
  <c r="G69" i="15"/>
  <c r="F69" i="15"/>
  <c r="G68" i="15"/>
  <c r="F68" i="15"/>
  <c r="G67" i="15"/>
  <c r="F67" i="15"/>
  <c r="G66" i="15"/>
  <c r="F66" i="15"/>
  <c r="G65" i="15"/>
  <c r="F65" i="15"/>
  <c r="G64" i="15"/>
  <c r="F64" i="15"/>
  <c r="G63" i="15"/>
  <c r="F63" i="15"/>
  <c r="G62" i="15"/>
  <c r="F62" i="15"/>
  <c r="G61" i="15"/>
  <c r="F61" i="15"/>
  <c r="G60" i="15"/>
  <c r="F60" i="15"/>
  <c r="G59" i="15"/>
  <c r="F59" i="15"/>
  <c r="G58" i="15"/>
  <c r="F58" i="15"/>
  <c r="G57" i="15"/>
  <c r="F57" i="15"/>
  <c r="G56" i="15"/>
  <c r="F56" i="15"/>
  <c r="G55" i="15"/>
  <c r="F55" i="15"/>
  <c r="G54" i="15"/>
  <c r="F54" i="15"/>
  <c r="G53" i="15"/>
  <c r="F53" i="15"/>
  <c r="G52" i="15"/>
  <c r="F52" i="15"/>
  <c r="G51" i="15"/>
  <c r="F51" i="15"/>
  <c r="G50" i="15"/>
  <c r="F50" i="15"/>
  <c r="G49" i="15"/>
  <c r="F49" i="15"/>
  <c r="G48" i="15"/>
  <c r="F48" i="15"/>
  <c r="G47" i="15"/>
  <c r="F47" i="15"/>
  <c r="G46" i="15"/>
  <c r="F46" i="15"/>
  <c r="G45" i="15"/>
  <c r="F45" i="15"/>
  <c r="G44" i="15"/>
  <c r="F44" i="15"/>
  <c r="G43" i="15"/>
  <c r="F43" i="15"/>
  <c r="G42" i="15"/>
  <c r="F42" i="15"/>
  <c r="G41" i="15"/>
  <c r="F41" i="15"/>
  <c r="G40" i="15"/>
  <c r="F40" i="15"/>
  <c r="G39" i="15"/>
  <c r="F39" i="15"/>
  <c r="G38" i="15"/>
  <c r="F38" i="15"/>
  <c r="G37" i="15"/>
  <c r="F37" i="15"/>
  <c r="G36" i="15"/>
  <c r="F36" i="15"/>
  <c r="G35" i="15"/>
  <c r="F35" i="15"/>
  <c r="G34" i="15"/>
  <c r="F34" i="15"/>
  <c r="G33" i="15"/>
  <c r="F33" i="15"/>
  <c r="G32" i="15"/>
  <c r="F32" i="15"/>
  <c r="G31" i="15"/>
  <c r="F31" i="15"/>
  <c r="G30" i="15"/>
  <c r="F30" i="15"/>
  <c r="G29" i="15"/>
  <c r="F29" i="15"/>
  <c r="G28" i="15"/>
  <c r="F28" i="15"/>
  <c r="G27" i="15"/>
  <c r="F27" i="15"/>
  <c r="G26" i="15"/>
  <c r="F26" i="15"/>
  <c r="G21" i="15"/>
  <c r="F21" i="15"/>
  <c r="G20" i="15"/>
  <c r="F20" i="15"/>
  <c r="G19" i="15"/>
  <c r="F19" i="15"/>
  <c r="G18" i="15"/>
  <c r="F18" i="15"/>
  <c r="G14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G84" i="14"/>
  <c r="F84" i="14"/>
  <c r="G83" i="14"/>
  <c r="F83" i="14"/>
  <c r="G82" i="14"/>
  <c r="F82" i="14"/>
  <c r="G81" i="14"/>
  <c r="F81" i="14"/>
  <c r="G80" i="14"/>
  <c r="F80" i="14"/>
  <c r="G79" i="14"/>
  <c r="F79" i="14"/>
  <c r="G78" i="14"/>
  <c r="F78" i="14"/>
  <c r="G77" i="14"/>
  <c r="F77" i="14"/>
  <c r="G76" i="14"/>
  <c r="F76" i="14"/>
  <c r="G75" i="14"/>
  <c r="F75" i="14"/>
  <c r="G74" i="14"/>
  <c r="F74" i="14"/>
  <c r="G73" i="14"/>
  <c r="F73" i="14"/>
  <c r="G72" i="14"/>
  <c r="F72" i="14"/>
  <c r="G71" i="14"/>
  <c r="F71" i="14"/>
  <c r="G70" i="14"/>
  <c r="F70" i="14"/>
  <c r="G69" i="14"/>
  <c r="F69" i="14"/>
  <c r="G68" i="14"/>
  <c r="F68" i="14"/>
  <c r="G67" i="14"/>
  <c r="F67" i="14"/>
  <c r="G66" i="14"/>
  <c r="F66" i="14"/>
  <c r="G65" i="14"/>
  <c r="F65" i="14"/>
  <c r="G64" i="14"/>
  <c r="F64" i="14"/>
  <c r="G63" i="14"/>
  <c r="F63" i="14"/>
  <c r="G62" i="14"/>
  <c r="F62" i="14"/>
  <c r="G61" i="14"/>
  <c r="F61" i="14"/>
  <c r="G60" i="14"/>
  <c r="F60" i="14"/>
  <c r="G59" i="14"/>
  <c r="F59" i="14"/>
  <c r="G58" i="14"/>
  <c r="F58" i="14"/>
  <c r="G57" i="14"/>
  <c r="F57" i="14"/>
  <c r="G56" i="14"/>
  <c r="F56" i="14"/>
  <c r="G55" i="14"/>
  <c r="F55" i="14"/>
  <c r="G54" i="14"/>
  <c r="F54" i="14"/>
  <c r="G53" i="14"/>
  <c r="F53" i="14"/>
  <c r="G52" i="14"/>
  <c r="F52" i="14"/>
  <c r="G51" i="14"/>
  <c r="F51" i="14"/>
  <c r="G50" i="14"/>
  <c r="F50" i="14"/>
  <c r="G49" i="14"/>
  <c r="F49" i="14"/>
  <c r="G48" i="14"/>
  <c r="F48" i="14"/>
  <c r="G47" i="14"/>
  <c r="F47" i="14"/>
  <c r="G46" i="14"/>
  <c r="F46" i="14"/>
  <c r="G45" i="14"/>
  <c r="F45" i="14"/>
  <c r="G44" i="14"/>
  <c r="F44" i="14"/>
  <c r="G43" i="14"/>
  <c r="F43" i="14"/>
  <c r="G42" i="14"/>
  <c r="F42" i="14"/>
  <c r="G41" i="14"/>
  <c r="F41" i="14"/>
  <c r="G40" i="14"/>
  <c r="F40" i="14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1" i="14"/>
  <c r="F21" i="14"/>
  <c r="G20" i="14"/>
  <c r="F20" i="14"/>
  <c r="G19" i="14"/>
  <c r="F19" i="14"/>
  <c r="G18" i="14"/>
  <c r="F18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G84" i="13"/>
  <c r="F84" i="13"/>
  <c r="G83" i="13"/>
  <c r="F83" i="13"/>
  <c r="G82" i="13"/>
  <c r="F82" i="13"/>
  <c r="G81" i="13"/>
  <c r="F81" i="13"/>
  <c r="G80" i="13"/>
  <c r="F80" i="13"/>
  <c r="G79" i="13"/>
  <c r="F79" i="13"/>
  <c r="G78" i="13"/>
  <c r="F78" i="13"/>
  <c r="G77" i="13"/>
  <c r="F77" i="13"/>
  <c r="G76" i="13"/>
  <c r="F76" i="13"/>
  <c r="G75" i="13"/>
  <c r="F75" i="13"/>
  <c r="G74" i="13"/>
  <c r="F74" i="13"/>
  <c r="G73" i="13"/>
  <c r="F73" i="13"/>
  <c r="G72" i="13"/>
  <c r="F72" i="13"/>
  <c r="G71" i="13"/>
  <c r="F71" i="13"/>
  <c r="G70" i="13"/>
  <c r="F70" i="13"/>
  <c r="G69" i="13"/>
  <c r="F69" i="13"/>
  <c r="G68" i="13"/>
  <c r="F68" i="13"/>
  <c r="G67" i="13"/>
  <c r="F67" i="13"/>
  <c r="G66" i="13"/>
  <c r="F66" i="13"/>
  <c r="G65" i="13"/>
  <c r="F65" i="13"/>
  <c r="G64" i="13"/>
  <c r="F64" i="13"/>
  <c r="G63" i="13"/>
  <c r="F63" i="13"/>
  <c r="G62" i="13"/>
  <c r="F62" i="13"/>
  <c r="G61" i="13"/>
  <c r="F61" i="13"/>
  <c r="G60" i="13"/>
  <c r="F60" i="13"/>
  <c r="G59" i="13"/>
  <c r="F59" i="13"/>
  <c r="G58" i="13"/>
  <c r="F58" i="13"/>
  <c r="G57" i="13"/>
  <c r="F57" i="13"/>
  <c r="G56" i="13"/>
  <c r="F56" i="13"/>
  <c r="G55" i="13"/>
  <c r="F55" i="13"/>
  <c r="G54" i="13"/>
  <c r="F54" i="13"/>
  <c r="G53" i="13"/>
  <c r="F53" i="13"/>
  <c r="G52" i="13"/>
  <c r="F52" i="13"/>
  <c r="G51" i="13"/>
  <c r="F51" i="13"/>
  <c r="G50" i="13"/>
  <c r="F50" i="13"/>
  <c r="G49" i="13"/>
  <c r="F49" i="13"/>
  <c r="G48" i="13"/>
  <c r="F48" i="13"/>
  <c r="G47" i="13"/>
  <c r="F47" i="13"/>
  <c r="G46" i="13"/>
  <c r="F46" i="13"/>
  <c r="G45" i="13"/>
  <c r="F45" i="13"/>
  <c r="G44" i="13"/>
  <c r="F44" i="13"/>
  <c r="G43" i="13"/>
  <c r="F43" i="13"/>
  <c r="G42" i="13"/>
  <c r="F42" i="13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1" i="13"/>
  <c r="F21" i="13"/>
  <c r="G20" i="13"/>
  <c r="F20" i="13"/>
  <c r="G19" i="13"/>
  <c r="F19" i="13"/>
  <c r="G18" i="13"/>
  <c r="F18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G84" i="12"/>
  <c r="F84" i="12"/>
  <c r="G83" i="12"/>
  <c r="F83" i="12"/>
  <c r="G82" i="12"/>
  <c r="F82" i="12"/>
  <c r="G81" i="12"/>
  <c r="F81" i="12"/>
  <c r="G80" i="12"/>
  <c r="F80" i="12"/>
  <c r="G79" i="12"/>
  <c r="F79" i="12"/>
  <c r="G78" i="12"/>
  <c r="F78" i="12"/>
  <c r="G77" i="12"/>
  <c r="F77" i="12"/>
  <c r="G76" i="12"/>
  <c r="F76" i="12"/>
  <c r="G75" i="12"/>
  <c r="F75" i="12"/>
  <c r="G74" i="12"/>
  <c r="F74" i="12"/>
  <c r="G73" i="12"/>
  <c r="F73" i="12"/>
  <c r="G72" i="12"/>
  <c r="F72" i="12"/>
  <c r="G71" i="12"/>
  <c r="F71" i="12"/>
  <c r="G70" i="12"/>
  <c r="F70" i="12"/>
  <c r="G69" i="12"/>
  <c r="F69" i="12"/>
  <c r="G68" i="12"/>
  <c r="F68" i="12"/>
  <c r="G67" i="12"/>
  <c r="F67" i="12"/>
  <c r="G66" i="12"/>
  <c r="F66" i="12"/>
  <c r="G65" i="12"/>
  <c r="F65" i="12"/>
  <c r="G64" i="12"/>
  <c r="F64" i="12"/>
  <c r="G63" i="12"/>
  <c r="F63" i="12"/>
  <c r="G62" i="12"/>
  <c r="F62" i="12"/>
  <c r="G61" i="12"/>
  <c r="F61" i="12"/>
  <c r="G60" i="12"/>
  <c r="F60" i="12"/>
  <c r="G59" i="12"/>
  <c r="F59" i="12"/>
  <c r="G58" i="12"/>
  <c r="F58" i="12"/>
  <c r="G57" i="12"/>
  <c r="F57" i="12"/>
  <c r="G56" i="12"/>
  <c r="F56" i="12"/>
  <c r="G55" i="12"/>
  <c r="F55" i="12"/>
  <c r="G54" i="12"/>
  <c r="F54" i="12"/>
  <c r="G53" i="12"/>
  <c r="F53" i="12"/>
  <c r="G52" i="12"/>
  <c r="F52" i="12"/>
  <c r="G51" i="12"/>
  <c r="F51" i="12"/>
  <c r="G50" i="12"/>
  <c r="F50" i="12"/>
  <c r="G49" i="12"/>
  <c r="F49" i="12"/>
  <c r="G48" i="12"/>
  <c r="F48" i="12"/>
  <c r="G47" i="12"/>
  <c r="F47" i="12"/>
  <c r="G46" i="12"/>
  <c r="F46" i="12"/>
  <c r="G45" i="12"/>
  <c r="F45" i="12"/>
  <c r="G44" i="12"/>
  <c r="F44" i="12"/>
  <c r="G43" i="12"/>
  <c r="F43" i="12"/>
  <c r="G42" i="12"/>
  <c r="F42" i="12"/>
  <c r="G41" i="12"/>
  <c r="F41" i="12"/>
  <c r="G40" i="12"/>
  <c r="F40" i="12"/>
  <c r="G39" i="12"/>
  <c r="F39" i="12"/>
  <c r="G38" i="12"/>
  <c r="F38" i="12"/>
  <c r="G37" i="12"/>
  <c r="F37" i="12"/>
  <c r="G36" i="12"/>
  <c r="F36" i="12"/>
  <c r="G35" i="12"/>
  <c r="F35" i="12"/>
  <c r="G34" i="12"/>
  <c r="F34" i="12"/>
  <c r="G33" i="12"/>
  <c r="F33" i="12"/>
  <c r="G32" i="12"/>
  <c r="F32" i="12"/>
  <c r="G31" i="12"/>
  <c r="F31" i="12"/>
  <c r="G30" i="12"/>
  <c r="F30" i="12"/>
  <c r="G29" i="12"/>
  <c r="F29" i="12"/>
  <c r="G28" i="12"/>
  <c r="F28" i="12"/>
  <c r="G27" i="12"/>
  <c r="F27" i="12"/>
  <c r="G26" i="12"/>
  <c r="F26" i="12"/>
  <c r="G21" i="12"/>
  <c r="F21" i="12"/>
  <c r="G20" i="12"/>
  <c r="F20" i="12"/>
  <c r="G19" i="12"/>
  <c r="F19" i="12"/>
  <c r="G18" i="12"/>
  <c r="F18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G84" i="10"/>
  <c r="F84" i="10"/>
  <c r="G83" i="10"/>
  <c r="F83" i="10"/>
  <c r="G82" i="10"/>
  <c r="F82" i="10"/>
  <c r="G81" i="10"/>
  <c r="F81" i="10"/>
  <c r="G80" i="10"/>
  <c r="F80" i="10"/>
  <c r="G79" i="10"/>
  <c r="F79" i="10"/>
  <c r="G78" i="10"/>
  <c r="F78" i="10"/>
  <c r="G77" i="10"/>
  <c r="F77" i="10"/>
  <c r="G76" i="10"/>
  <c r="F76" i="10"/>
  <c r="G75" i="10"/>
  <c r="F75" i="10"/>
  <c r="G74" i="10"/>
  <c r="F74" i="10"/>
  <c r="G73" i="10"/>
  <c r="F73" i="10"/>
  <c r="G72" i="10"/>
  <c r="F72" i="10"/>
  <c r="G71" i="10"/>
  <c r="F71" i="10"/>
  <c r="G70" i="10"/>
  <c r="F70" i="10"/>
  <c r="G69" i="10"/>
  <c r="F69" i="10"/>
  <c r="G68" i="10"/>
  <c r="F68" i="10"/>
  <c r="G67" i="10"/>
  <c r="F67" i="10"/>
  <c r="G66" i="10"/>
  <c r="F66" i="10"/>
  <c r="G65" i="10"/>
  <c r="F65" i="10"/>
  <c r="G64" i="10"/>
  <c r="F64" i="10"/>
  <c r="G63" i="10"/>
  <c r="F63" i="10"/>
  <c r="G62" i="10"/>
  <c r="F62" i="10"/>
  <c r="G61" i="10"/>
  <c r="F61" i="10"/>
  <c r="G60" i="10"/>
  <c r="F60" i="10"/>
  <c r="G59" i="10"/>
  <c r="F59" i="10"/>
  <c r="G58" i="10"/>
  <c r="F58" i="10"/>
  <c r="G57" i="10"/>
  <c r="F57" i="10"/>
  <c r="G56" i="10"/>
  <c r="F56" i="10"/>
  <c r="G55" i="10"/>
  <c r="F55" i="10"/>
  <c r="G54" i="10"/>
  <c r="F54" i="10"/>
  <c r="G53" i="10"/>
  <c r="F53" i="10"/>
  <c r="G52" i="10"/>
  <c r="F52" i="10"/>
  <c r="G51" i="10"/>
  <c r="F51" i="10"/>
  <c r="G50" i="10"/>
  <c r="F50" i="10"/>
  <c r="G49" i="10"/>
  <c r="F49" i="10"/>
  <c r="G48" i="10"/>
  <c r="F48" i="10"/>
  <c r="G47" i="10"/>
  <c r="F47" i="10"/>
  <c r="G46" i="10"/>
  <c r="F46" i="10"/>
  <c r="G45" i="10"/>
  <c r="F45" i="10"/>
  <c r="G44" i="10"/>
  <c r="F44" i="10"/>
  <c r="G43" i="10"/>
  <c r="F43" i="10"/>
  <c r="G42" i="10"/>
  <c r="F42" i="10"/>
  <c r="G41" i="10"/>
  <c r="F41" i="10"/>
  <c r="G40" i="10"/>
  <c r="F40" i="10"/>
  <c r="G39" i="10"/>
  <c r="F39" i="10"/>
  <c r="G38" i="10"/>
  <c r="F38" i="10"/>
  <c r="G37" i="10"/>
  <c r="F37" i="10"/>
  <c r="G36" i="10"/>
  <c r="F36" i="10"/>
  <c r="G35" i="10"/>
  <c r="F35" i="10"/>
  <c r="G34" i="10"/>
  <c r="F34" i="10"/>
  <c r="G33" i="10"/>
  <c r="F33" i="10"/>
  <c r="G32" i="10"/>
  <c r="F32" i="10"/>
  <c r="G31" i="10"/>
  <c r="F31" i="10"/>
  <c r="G30" i="10"/>
  <c r="F30" i="10"/>
  <c r="G29" i="10"/>
  <c r="F29" i="10"/>
  <c r="G28" i="10"/>
  <c r="F28" i="10"/>
  <c r="G27" i="10"/>
  <c r="F27" i="10"/>
  <c r="G26" i="10"/>
  <c r="F26" i="10"/>
  <c r="G21" i="10"/>
  <c r="F21" i="10"/>
  <c r="G20" i="10"/>
  <c r="F20" i="10"/>
  <c r="G19" i="10"/>
  <c r="F19" i="10"/>
  <c r="G18" i="10"/>
  <c r="F18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G84" i="9"/>
  <c r="F84" i="9"/>
  <c r="G83" i="9"/>
  <c r="F83" i="9"/>
  <c r="G82" i="9"/>
  <c r="F82" i="9"/>
  <c r="G81" i="9"/>
  <c r="F81" i="9"/>
  <c r="G80" i="9"/>
  <c r="F80" i="9"/>
  <c r="G79" i="9"/>
  <c r="F79" i="9"/>
  <c r="G78" i="9"/>
  <c r="F78" i="9"/>
  <c r="G77" i="9"/>
  <c r="F77" i="9"/>
  <c r="G76" i="9"/>
  <c r="F76" i="9"/>
  <c r="G75" i="9"/>
  <c r="F75" i="9"/>
  <c r="G74" i="9"/>
  <c r="F74" i="9"/>
  <c r="G73" i="9"/>
  <c r="F73" i="9"/>
  <c r="G72" i="9"/>
  <c r="F72" i="9"/>
  <c r="G71" i="9"/>
  <c r="F71" i="9"/>
  <c r="G70" i="9"/>
  <c r="F70" i="9"/>
  <c r="G69" i="9"/>
  <c r="F69" i="9"/>
  <c r="G68" i="9"/>
  <c r="F68" i="9"/>
  <c r="G67" i="9"/>
  <c r="F67" i="9"/>
  <c r="G66" i="9"/>
  <c r="F66" i="9"/>
  <c r="G65" i="9"/>
  <c r="F65" i="9"/>
  <c r="G64" i="9"/>
  <c r="F64" i="9"/>
  <c r="G63" i="9"/>
  <c r="F63" i="9"/>
  <c r="G62" i="9"/>
  <c r="F62" i="9"/>
  <c r="G61" i="9"/>
  <c r="F61" i="9"/>
  <c r="G60" i="9"/>
  <c r="F60" i="9"/>
  <c r="G59" i="9"/>
  <c r="F59" i="9"/>
  <c r="G58" i="9"/>
  <c r="F58" i="9"/>
  <c r="G57" i="9"/>
  <c r="F57" i="9"/>
  <c r="G56" i="9"/>
  <c r="F56" i="9"/>
  <c r="G55" i="9"/>
  <c r="F55" i="9"/>
  <c r="G54" i="9"/>
  <c r="F54" i="9"/>
  <c r="G53" i="9"/>
  <c r="F53" i="9"/>
  <c r="G52" i="9"/>
  <c r="F52" i="9"/>
  <c r="G51" i="9"/>
  <c r="F51" i="9"/>
  <c r="G50" i="9"/>
  <c r="F50" i="9"/>
  <c r="G49" i="9"/>
  <c r="F49" i="9"/>
  <c r="G48" i="9"/>
  <c r="F48" i="9"/>
  <c r="G47" i="9"/>
  <c r="F47" i="9"/>
  <c r="G46" i="9"/>
  <c r="F46" i="9"/>
  <c r="G45" i="9"/>
  <c r="F45" i="9"/>
  <c r="G44" i="9"/>
  <c r="F44" i="9"/>
  <c r="G43" i="9"/>
  <c r="F43" i="9"/>
  <c r="G42" i="9"/>
  <c r="F42" i="9"/>
  <c r="G41" i="9"/>
  <c r="F41" i="9"/>
  <c r="G40" i="9"/>
  <c r="F40" i="9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G27" i="9"/>
  <c r="F27" i="9"/>
  <c r="G26" i="9"/>
  <c r="F26" i="9"/>
  <c r="G21" i="9"/>
  <c r="F21" i="9"/>
  <c r="G20" i="9"/>
  <c r="F20" i="9"/>
  <c r="G19" i="9"/>
  <c r="F19" i="9"/>
  <c r="G18" i="9"/>
  <c r="F18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G84" i="8"/>
  <c r="F84" i="8"/>
  <c r="G83" i="8"/>
  <c r="F83" i="8"/>
  <c r="G82" i="8"/>
  <c r="F82" i="8"/>
  <c r="G81" i="8"/>
  <c r="F81" i="8"/>
  <c r="G80" i="8"/>
  <c r="F80" i="8"/>
  <c r="G79" i="8"/>
  <c r="F79" i="8"/>
  <c r="G78" i="8"/>
  <c r="F78" i="8"/>
  <c r="G77" i="8"/>
  <c r="F77" i="8"/>
  <c r="G76" i="8"/>
  <c r="F76" i="8"/>
  <c r="G75" i="8"/>
  <c r="F75" i="8"/>
  <c r="G74" i="8"/>
  <c r="F74" i="8"/>
  <c r="G73" i="8"/>
  <c r="F73" i="8"/>
  <c r="G72" i="8"/>
  <c r="F72" i="8"/>
  <c r="G71" i="8"/>
  <c r="F71" i="8"/>
  <c r="G70" i="8"/>
  <c r="F70" i="8"/>
  <c r="G69" i="8"/>
  <c r="F69" i="8"/>
  <c r="G68" i="8"/>
  <c r="F68" i="8"/>
  <c r="G67" i="8"/>
  <c r="F67" i="8"/>
  <c r="G66" i="8"/>
  <c r="F66" i="8"/>
  <c r="G65" i="8"/>
  <c r="F65" i="8"/>
  <c r="G64" i="8"/>
  <c r="F64" i="8"/>
  <c r="G63" i="8"/>
  <c r="F63" i="8"/>
  <c r="G62" i="8"/>
  <c r="F62" i="8"/>
  <c r="G61" i="8"/>
  <c r="F61" i="8"/>
  <c r="G60" i="8"/>
  <c r="F60" i="8"/>
  <c r="G59" i="8"/>
  <c r="F59" i="8"/>
  <c r="G58" i="8"/>
  <c r="F58" i="8"/>
  <c r="G57" i="8"/>
  <c r="F57" i="8"/>
  <c r="G56" i="8"/>
  <c r="F56" i="8"/>
  <c r="G55" i="8"/>
  <c r="F55" i="8"/>
  <c r="G54" i="8"/>
  <c r="F54" i="8"/>
  <c r="G53" i="8"/>
  <c r="F53" i="8"/>
  <c r="G52" i="8"/>
  <c r="F52" i="8"/>
  <c r="G51" i="8"/>
  <c r="F51" i="8"/>
  <c r="G50" i="8"/>
  <c r="F50" i="8"/>
  <c r="G49" i="8"/>
  <c r="F49" i="8"/>
  <c r="G48" i="8"/>
  <c r="F48" i="8"/>
  <c r="G47" i="8"/>
  <c r="F47" i="8"/>
  <c r="G46" i="8"/>
  <c r="F46" i="8"/>
  <c r="G45" i="8"/>
  <c r="F45" i="8"/>
  <c r="G44" i="8"/>
  <c r="F44" i="8"/>
  <c r="G43" i="8"/>
  <c r="F43" i="8"/>
  <c r="G42" i="8"/>
  <c r="F42" i="8"/>
  <c r="G41" i="8"/>
  <c r="F41" i="8"/>
  <c r="G40" i="8"/>
  <c r="F40" i="8"/>
  <c r="G39" i="8"/>
  <c r="F39" i="8"/>
  <c r="G38" i="8"/>
  <c r="F38" i="8"/>
  <c r="G37" i="8"/>
  <c r="F37" i="8"/>
  <c r="G36" i="8"/>
  <c r="F36" i="8"/>
  <c r="G35" i="8"/>
  <c r="F35" i="8"/>
  <c r="G34" i="8"/>
  <c r="F34" i="8"/>
  <c r="G33" i="8"/>
  <c r="F33" i="8"/>
  <c r="G32" i="8"/>
  <c r="F32" i="8"/>
  <c r="G31" i="8"/>
  <c r="F31" i="8"/>
  <c r="G30" i="8"/>
  <c r="F30" i="8"/>
  <c r="G29" i="8"/>
  <c r="F29" i="8"/>
  <c r="G28" i="8"/>
  <c r="F28" i="8"/>
  <c r="G27" i="8"/>
  <c r="F27" i="8"/>
  <c r="G26" i="8"/>
  <c r="F26" i="8"/>
  <c r="G21" i="8"/>
  <c r="F21" i="8"/>
  <c r="G20" i="8"/>
  <c r="F20" i="8"/>
  <c r="G19" i="8"/>
  <c r="F19" i="8"/>
  <c r="G18" i="8"/>
  <c r="F18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G84" i="7"/>
  <c r="F84" i="7"/>
  <c r="G83" i="7"/>
  <c r="F83" i="7"/>
  <c r="G82" i="7"/>
  <c r="F82" i="7"/>
  <c r="G81" i="7"/>
  <c r="F81" i="7"/>
  <c r="G80" i="7"/>
  <c r="F80" i="7"/>
  <c r="G79" i="7"/>
  <c r="F79" i="7"/>
  <c r="G78" i="7"/>
  <c r="F78" i="7"/>
  <c r="G77" i="7"/>
  <c r="F77" i="7"/>
  <c r="G76" i="7"/>
  <c r="F76" i="7"/>
  <c r="G75" i="7"/>
  <c r="F75" i="7"/>
  <c r="G74" i="7"/>
  <c r="F74" i="7"/>
  <c r="G73" i="7"/>
  <c r="F73" i="7"/>
  <c r="G72" i="7"/>
  <c r="F72" i="7"/>
  <c r="G71" i="7"/>
  <c r="F71" i="7"/>
  <c r="G70" i="7"/>
  <c r="F70" i="7"/>
  <c r="G69" i="7"/>
  <c r="F69" i="7"/>
  <c r="G68" i="7"/>
  <c r="F68" i="7"/>
  <c r="G67" i="7"/>
  <c r="F67" i="7"/>
  <c r="G66" i="7"/>
  <c r="F66" i="7"/>
  <c r="G65" i="7"/>
  <c r="F65" i="7"/>
  <c r="G64" i="7"/>
  <c r="F64" i="7"/>
  <c r="G63" i="7"/>
  <c r="F63" i="7"/>
  <c r="G62" i="7"/>
  <c r="F62" i="7"/>
  <c r="G61" i="7"/>
  <c r="F61" i="7"/>
  <c r="G60" i="7"/>
  <c r="F60" i="7"/>
  <c r="G59" i="7"/>
  <c r="F59" i="7"/>
  <c r="G58" i="7"/>
  <c r="F58" i="7"/>
  <c r="G57" i="7"/>
  <c r="F57" i="7"/>
  <c r="G56" i="7"/>
  <c r="F56" i="7"/>
  <c r="G55" i="7"/>
  <c r="F55" i="7"/>
  <c r="G54" i="7"/>
  <c r="F54" i="7"/>
  <c r="G53" i="7"/>
  <c r="F53" i="7"/>
  <c r="G52" i="7"/>
  <c r="F52" i="7"/>
  <c r="G51" i="7"/>
  <c r="F51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G39" i="7"/>
  <c r="F39" i="7"/>
  <c r="G38" i="7"/>
  <c r="F38" i="7"/>
  <c r="G37" i="7"/>
  <c r="F37" i="7"/>
  <c r="G36" i="7"/>
  <c r="F36" i="7"/>
  <c r="G35" i="7"/>
  <c r="F35" i="7"/>
  <c r="G34" i="7"/>
  <c r="F34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1" i="7"/>
  <c r="F21" i="7"/>
  <c r="G20" i="7"/>
  <c r="F20" i="7"/>
  <c r="G19" i="7"/>
  <c r="F19" i="7"/>
  <c r="G18" i="7"/>
  <c r="F18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G21" i="6"/>
  <c r="F21" i="6"/>
  <c r="G20" i="6"/>
  <c r="F20" i="6"/>
  <c r="G19" i="6"/>
  <c r="F19" i="6"/>
  <c r="G18" i="6"/>
  <c r="F18" i="6"/>
  <c r="F27" i="6" l="1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26" i="6"/>
  <c r="F4" i="6"/>
  <c r="F5" i="6"/>
  <c r="F6" i="6"/>
  <c r="F7" i="6"/>
  <c r="F8" i="6"/>
  <c r="F9" i="6"/>
  <c r="F10" i="6"/>
  <c r="F11" i="6"/>
  <c r="F12" i="6"/>
  <c r="F13" i="6"/>
  <c r="F14" i="6"/>
  <c r="F3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26" i="6"/>
  <c r="G4" i="6"/>
  <c r="G5" i="6"/>
  <c r="G6" i="6"/>
  <c r="G7" i="6"/>
  <c r="G8" i="6"/>
  <c r="G9" i="6"/>
  <c r="G10" i="6"/>
  <c r="G11" i="6"/>
  <c r="G12" i="6"/>
  <c r="G13" i="6"/>
  <c r="G14" i="6"/>
  <c r="G3" i="6"/>
</calcChain>
</file>

<file path=xl/sharedStrings.xml><?xml version="1.0" encoding="utf-8"?>
<sst xmlns="http://schemas.openxmlformats.org/spreadsheetml/2006/main" count="15420" uniqueCount="250">
  <si>
    <t>Register_End</t>
    <phoneticPr fontId="2" type="noConversion"/>
  </si>
  <si>
    <t>N</t>
    <phoneticPr fontId="2" type="noConversion"/>
  </si>
  <si>
    <t>N/A</t>
    <phoneticPr fontId="2" type="noConversion"/>
  </si>
  <si>
    <t>HDMITX_AUDIO</t>
  </si>
  <si>
    <t>HDMITX_VIDEO</t>
    <phoneticPr fontId="2" type="noConversion"/>
  </si>
  <si>
    <t>HDMITX</t>
  </si>
  <si>
    <t>HDMITX_MISC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</si>
  <si>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</si>
  <si>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</si>
  <si>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</si>
  <si>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</si>
  <si>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</si>
  <si>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</si>
  <si>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</si>
  <si>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</si>
  <si>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</si>
  <si>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</si>
  <si>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</si>
  <si>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</si>
  <si>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</si>
  <si>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</si>
  <si>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</si>
  <si>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-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</si>
  <si>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</si>
  <si>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</si>
  <si>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</si>
  <si>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</si>
  <si>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</si>
  <si>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HDCPTX</t>
    <phoneticPr fontId="2" type="noConversion"/>
  </si>
  <si>
    <t>HDMITX_PHY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</si>
  <si>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</si>
  <si>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</si>
  <si>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</si>
  <si>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</si>
  <si>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TX_ATOP</t>
    <phoneticPr fontId="2" type="noConversion"/>
  </si>
  <si>
    <t>clk_pixel, clk_tmds, data_out</t>
    <phoneticPr fontId="2" type="noConversion"/>
  </si>
  <si>
    <t>HDMITX_PHY</t>
    <phoneticPr fontId="2" type="noConversion"/>
  </si>
  <si>
    <t>-</t>
    <phoneticPr fontId="2" type="noConversion"/>
  </si>
  <si>
    <t>disable power down</t>
    <phoneticPr fontId="2" type="noConversion"/>
  </si>
  <si>
    <t>disable power down</t>
  </si>
  <si>
    <t>HDMITX_PHY</t>
    <phoneticPr fontId="2" type="noConversion"/>
  </si>
  <si>
    <t>-</t>
    <phoneticPr fontId="2" type="noConversion"/>
  </si>
  <si>
    <t>reg_atop_ictrl_drv_pre_clk</t>
  </si>
  <si>
    <t>reg_atop_pd_preem</t>
  </si>
  <si>
    <t>reg_atop_ictrl_drv_pre_l0</t>
  </si>
  <si>
    <t>reg_atop_ictrl_drv_pre_l2</t>
  </si>
  <si>
    <t>0x00</t>
  </si>
  <si>
    <t>reg_atop_rt_efuse_sel</t>
  </si>
  <si>
    <t>reg_atop_txpll_divsel_in</t>
  </si>
  <si>
    <t>0x10</t>
  </si>
  <si>
    <t>TYPE</t>
    <phoneticPr fontId="2" type="noConversion"/>
  </si>
  <si>
    <t>Group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</si>
  <si>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</si>
  <si>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</si>
  <si>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</si>
  <si>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</si>
  <si>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</si>
  <si>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Byte</t>
    <phoneticPr fontId="2" type="noConversion"/>
  </si>
  <si>
    <t>Mask</t>
    <phoneticPr fontId="2" type="noConversion"/>
  </si>
  <si>
    <t>ALL</t>
    <phoneticPr fontId="2" type="noConversion"/>
  </si>
  <si>
    <t>reg_misc_config_1c</t>
  </si>
  <si>
    <t>all clock inside hdmitx sel</t>
  </si>
  <si>
    <t>HDMITX_MISC</t>
  </si>
  <si>
    <t>reg_misc_config_1d</t>
    <phoneticPr fontId="2" type="noConversion"/>
  </si>
  <si>
    <t>all clock inside hdmitx inv</t>
  </si>
  <si>
    <t>reg_misc_config_1e</t>
    <phoneticPr fontId="2" type="noConversion"/>
  </si>
  <si>
    <t>all clock inside hdmitx enable</t>
  </si>
  <si>
    <t>reg_misc_config_1f</t>
    <phoneticPr fontId="2" type="noConversion"/>
  </si>
  <si>
    <t>all clock inside hdmitx external</t>
  </si>
  <si>
    <t>all clock inside hdmitx enternal</t>
  </si>
  <si>
    <t>reg_l0_lane_to_fifo_sel</t>
  </si>
  <si>
    <t xml:space="preserve">repetiton fifo mode select </t>
    <phoneticPr fontId="2" type="noConversion"/>
  </si>
  <si>
    <t>reg_en_clk_432_synth</t>
  </si>
  <si>
    <t>0x01</t>
  </si>
  <si>
    <t>0x03</t>
  </si>
  <si>
    <t>0x0c</t>
  </si>
  <si>
    <t>reg_lfsr_enable</t>
  </si>
  <si>
    <t>hdmi 20 scramble enable</t>
  </si>
  <si>
    <t>hdmi 20 CLK enable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</si>
  <si>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</si>
  <si>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</si>
  <si>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</si>
  <si>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8bits_480_60I</t>
    <phoneticPr fontId="2" type="noConversion"/>
  </si>
  <si>
    <t>8bits_480_60P</t>
    <phoneticPr fontId="2" type="noConversion"/>
  </si>
  <si>
    <t>8bits_1080_60I</t>
    <phoneticPr fontId="2" type="noConversion"/>
  </si>
  <si>
    <t>8bits_720_60P</t>
    <phoneticPr fontId="2" type="noConversion"/>
  </si>
  <si>
    <t>8bits_1080_60P</t>
    <phoneticPr fontId="2" type="noConversion"/>
  </si>
  <si>
    <t>8bits_4K2K_420_30P</t>
    <phoneticPr fontId="2" type="noConversion"/>
  </si>
  <si>
    <t>8bits_4K2K_3D_30P</t>
    <phoneticPr fontId="2" type="noConversion"/>
  </si>
  <si>
    <t>8bits_4K2K_420_60P</t>
    <phoneticPr fontId="2" type="noConversion"/>
  </si>
  <si>
    <t>Y</t>
    <phoneticPr fontId="2" type="noConversion"/>
  </si>
  <si>
    <t>8bits_4K2K_60P</t>
    <phoneticPr fontId="2" type="noConversion"/>
  </si>
  <si>
    <t>10bits_480_60I</t>
    <phoneticPr fontId="2" type="noConversion"/>
  </si>
  <si>
    <t>10bits_480_60P</t>
    <phoneticPr fontId="2" type="noConversion"/>
  </si>
  <si>
    <t>10bits_1080_60I</t>
    <phoneticPr fontId="2" type="noConversion"/>
  </si>
  <si>
    <t>10bits_720_60P</t>
    <phoneticPr fontId="2" type="noConversion"/>
  </si>
  <si>
    <t>10bits_1080_60P</t>
    <phoneticPr fontId="2" type="noConversion"/>
  </si>
  <si>
    <t>10bits_4K2K_420_30P</t>
    <phoneticPr fontId="2" type="noConversion"/>
  </si>
  <si>
    <t>10bits_4K2K_3D_30P</t>
    <phoneticPr fontId="2" type="noConversion"/>
  </si>
  <si>
    <t>10bits_4K2K_420_60P</t>
    <phoneticPr fontId="2" type="noConversion"/>
  </si>
  <si>
    <t>12bits_480_60I</t>
    <phoneticPr fontId="2" type="noConversion"/>
  </si>
  <si>
    <t>12bits_480_60P</t>
    <phoneticPr fontId="2" type="noConversion"/>
  </si>
  <si>
    <t>12bits_1080_60I</t>
    <phoneticPr fontId="2" type="noConversion"/>
  </si>
  <si>
    <t>12bits_720_60P</t>
    <phoneticPr fontId="2" type="noConversion"/>
  </si>
  <si>
    <t>12bits_1080_60P</t>
    <phoneticPr fontId="2" type="noConversion"/>
  </si>
  <si>
    <t>12bits_4K2K_420_30P</t>
    <phoneticPr fontId="2" type="noConversion"/>
  </si>
  <si>
    <t>12bits_4K2K_3D_30P</t>
    <phoneticPr fontId="2" type="noConversion"/>
  </si>
  <si>
    <t>12bits_4K2K_420_60P</t>
    <phoneticPr fontId="2" type="noConversion"/>
  </si>
  <si>
    <t>16bits_480_60I</t>
    <phoneticPr fontId="2" type="noConversion"/>
  </si>
  <si>
    <t>16bits_480_60P</t>
    <phoneticPr fontId="2" type="noConversion"/>
  </si>
  <si>
    <t>16bits_1080_60I</t>
    <phoneticPr fontId="2" type="noConversion"/>
  </si>
  <si>
    <t>16bits_720_60P</t>
    <phoneticPr fontId="2" type="noConversion"/>
  </si>
  <si>
    <t>16bits_1080_60P</t>
    <phoneticPr fontId="2" type="noConversion"/>
  </si>
  <si>
    <t>16bits_4K2K_420_30P</t>
    <phoneticPr fontId="2" type="noConversion"/>
  </si>
  <si>
    <t>16bits_4K2K_3D_30P</t>
    <phoneticPr fontId="2" type="noConversion"/>
  </si>
  <si>
    <t>16bits_4K2K_420_60P</t>
    <phoneticPr fontId="2" type="noConversion"/>
  </si>
  <si>
    <t>Y</t>
    <phoneticPr fontId="2" type="noConversion"/>
  </si>
  <si>
    <t>10bits_4K2K_60P_RB</t>
    <phoneticPr fontId="2" type="noConversion"/>
  </si>
  <si>
    <t>Y</t>
    <phoneticPr fontId="2" type="noConversion"/>
  </si>
  <si>
    <t>I2</t>
    <phoneticPr fontId="2" type="noConversion"/>
  </si>
  <si>
    <t>3A</t>
  </si>
  <si>
    <t>3B</t>
  </si>
  <si>
    <t>3C</t>
  </si>
  <si>
    <t>3D</t>
  </si>
  <si>
    <t>3E</t>
  </si>
  <si>
    <t>3F</t>
  </si>
  <si>
    <t>A4</t>
  </si>
  <si>
    <t>BB</t>
  </si>
  <si>
    <t>0xFF</t>
  </si>
  <si>
    <t>2C</t>
  </si>
  <si>
    <t>2E</t>
  </si>
  <si>
    <t>2B</t>
  </si>
  <si>
    <t>F3</t>
  </si>
  <si>
    <t>4D</t>
  </si>
  <si>
    <t>8D</t>
  </si>
  <si>
    <t>7B</t>
  </si>
  <si>
    <t>7A</t>
  </si>
  <si>
    <t>6A</t>
  </si>
  <si>
    <t>6C</t>
  </si>
  <si>
    <t>6E</t>
  </si>
  <si>
    <t>5D</t>
  </si>
  <si>
    <t>5F</t>
  </si>
  <si>
    <t>D0</t>
  </si>
  <si>
    <t>D2</t>
  </si>
  <si>
    <t>D4</t>
  </si>
  <si>
    <t>D6</t>
  </si>
  <si>
    <t>F2</t>
  </si>
  <si>
    <t>0xc0</t>
  </si>
  <si>
    <t>0x04</t>
  </si>
  <si>
    <t>0x70</t>
  </si>
  <si>
    <t>0x0F</t>
  </si>
  <si>
    <t>0x30</t>
  </si>
  <si>
    <t>0x78</t>
  </si>
  <si>
    <t>0x3F</t>
  </si>
  <si>
    <t>0x0A</t>
  </si>
  <si>
    <t>0x07</t>
  </si>
  <si>
    <t>0xF0</t>
  </si>
  <si>
    <t>0x40</t>
  </si>
  <si>
    <t>0x02</t>
  </si>
  <si>
    <t>0xA2</t>
  </si>
  <si>
    <t>0x8B</t>
  </si>
  <si>
    <t>0x2E</t>
  </si>
  <si>
    <t>0x28</t>
  </si>
  <si>
    <t>0x14</t>
  </si>
  <si>
    <t>INIT_HDMITX_MISC</t>
    <phoneticPr fontId="2" type="noConversion"/>
  </si>
  <si>
    <t>INIT_HDMITX_PHY</t>
    <phoneticPr fontId="2" type="noConversion"/>
  </si>
  <si>
    <t>reg_en_clk_synth2atop</t>
  </si>
  <si>
    <t>reg_en_clk_fifo_o</t>
  </si>
  <si>
    <t>reg_l0_fifo_en</t>
  </si>
  <si>
    <t>reg_l1_lane_to_fifo_sel</t>
  </si>
  <si>
    <t>reg_l1_fifo_en</t>
  </si>
  <si>
    <t>reg_l2_lane_to_fifo_sel</t>
  </si>
  <si>
    <t>reg_l2_fifo_en</t>
  </si>
  <si>
    <t>reg_l3_lane_to_fifo_sel</t>
  </si>
  <si>
    <t>reg_l3_fifo_en</t>
  </si>
  <si>
    <t>reg_synth_ssc_set</t>
  </si>
  <si>
    <t>reg_wd_pack_mode_hw_en</t>
  </si>
  <si>
    <t>reg_hdmi20_spec</t>
  </si>
  <si>
    <t>reg_atop_txpll_sel_clkin</t>
  </si>
  <si>
    <t>reg_atop_txpll_icp_ictrl</t>
  </si>
  <si>
    <t>reg_atop_mux_divsel_post</t>
  </si>
  <si>
    <t>reg_atop_txpll_divsel_post</t>
  </si>
  <si>
    <t>reg_atop_txpll_divsel_fb2x</t>
  </si>
  <si>
    <t>reg_atop_txpll_divsel_fbn</t>
  </si>
  <si>
    <t>reg_atop_txpll_divsel_pixel</t>
  </si>
  <si>
    <t>ip_reg_atop_sr_predrv_main_clk</t>
  </si>
  <si>
    <t>ip_reg_atop_sr_predrv_main_l0</t>
  </si>
  <si>
    <t>ip_reg_atop_sr_predrv_main_l1</t>
  </si>
  <si>
    <t>ip_reg_atop_sr_predrv_main_l2</t>
  </si>
  <si>
    <t>reg_atop_ictrl_drv_main_clk</t>
  </si>
  <si>
    <t>reg_atop_ictrl_drv_main_l0</t>
  </si>
  <si>
    <t>reg_atop_ictrl_drv_main_l1</t>
  </si>
  <si>
    <t>reg_atop_ictrl_drv_main_l2</t>
  </si>
  <si>
    <t>reg_atop_en_clk_tmds; [9]: reg_atop_en_clk_pixel</t>
  </si>
  <si>
    <t>reg_atop_en_data_out</t>
  </si>
  <si>
    <t>reg_atop_pd_drv; [3:0]: reg_atop_pd</t>
  </si>
  <si>
    <t>reg_atop_pd_predrv</t>
  </si>
  <si>
    <t>reg_atop_pd_igen; [5]: reg_atop_pd_tx_ldo; [4]: reg_atop_pd_txpll</t>
  </si>
  <si>
    <t>reg_atop_pd_rt</t>
  </si>
  <si>
    <t>reg_atop_rt</t>
  </si>
  <si>
    <t>reg_atop_sr_predrv_pre_clk</t>
  </si>
  <si>
    <t>reg_atop_ictrl_drv_pre_l1</t>
  </si>
  <si>
    <t>reg_atop_sr_predrv_pre_l0</t>
  </si>
  <si>
    <t>reg_atop_sr_predrv_pre_l1</t>
  </si>
  <si>
    <t>reg_atop_sr_predrv_pre_l2</t>
  </si>
  <si>
    <t>reg_hw_cfg_md</t>
  </si>
  <si>
    <t>reg_ref_clk_stb_flg</t>
  </si>
  <si>
    <t xml:space="preserve">reg_sel_clk_432_synth  </t>
    <phoneticPr fontId="2" type="noConversion"/>
  </si>
  <si>
    <t>reg_sel_clk_tmds_link</t>
    <phoneticPr fontId="2" type="noConversion"/>
  </si>
  <si>
    <t xml:space="preserve">reg_sel_clk_fifo_o  </t>
    <phoneticPr fontId="2" type="noConversion"/>
  </si>
  <si>
    <t>reg_en_clk_tmds_link_div2</t>
    <phoneticPr fontId="2" type="noConversion"/>
  </si>
  <si>
    <t>INIT_HDMITX</t>
  </si>
  <si>
    <t>INIT_HDMITX</t>
    <phoneticPr fontId="2" type="noConversion"/>
  </si>
  <si>
    <t xml:space="preserve">reg_en_clk_432_synth </t>
  </si>
  <si>
    <t xml:space="preserve">reg_en_clk_tmds_link </t>
  </si>
  <si>
    <t>0x09</t>
  </si>
  <si>
    <t>0x08</t>
  </si>
  <si>
    <t>0x3000</t>
    <phoneticPr fontId="2" type="noConversion"/>
  </si>
  <si>
    <t>0x2C00</t>
    <phoneticPr fontId="2" type="noConversion"/>
  </si>
  <si>
    <t>0x2A00</t>
    <phoneticPr fontId="2" type="noConversion"/>
  </si>
  <si>
    <t>0x2B00</t>
    <phoneticPr fontId="2" type="noConversion"/>
  </si>
  <si>
    <t>0x2D00</t>
    <phoneticPr fontId="2" type="noConversion"/>
  </si>
  <si>
    <t>0x2E00</t>
    <phoneticPr fontId="2" type="noConversion"/>
  </si>
  <si>
    <t>INIT_HDMITX_MISC</t>
  </si>
  <si>
    <t>INIT_HDMITX_PHY</t>
  </si>
  <si>
    <t>INIT_HDMITX_PHY</t>
    <phoneticPr fontId="2" type="noConversion"/>
  </si>
  <si>
    <t>0x33</t>
  </si>
  <si>
    <t>0xAA</t>
  </si>
  <si>
    <t>0x2A</t>
  </si>
  <si>
    <t>0x20</t>
  </si>
  <si>
    <t>RegName</t>
    <phoneticPr fontId="2" type="noConversion"/>
  </si>
  <si>
    <t>Reg Name</t>
    <phoneticPr fontId="2" type="noConversion"/>
  </si>
  <si>
    <t>0xD1</t>
  </si>
  <si>
    <t>0x45</t>
  </si>
  <si>
    <t>0x17</t>
  </si>
  <si>
    <t>0x38</t>
  </si>
  <si>
    <t>0x82</t>
  </si>
  <si>
    <t>0x3C</t>
  </si>
  <si>
    <t>0x25</t>
  </si>
  <si>
    <t>0xF2</t>
  </si>
  <si>
    <t>reg_wd_pack_mode</t>
    <phoneticPr fontId="2" type="noConversion"/>
  </si>
  <si>
    <t>reg_wd_pack_mode</t>
    <phoneticPr fontId="2" type="noConversion"/>
  </si>
  <si>
    <t>0xC1</t>
  </si>
  <si>
    <t>0x1F</t>
  </si>
  <si>
    <t>0x00</t>
    <phoneticPr fontId="2" type="noConversion"/>
  </si>
  <si>
    <t>Y</t>
    <phoneticPr fontId="2" type="noConversion"/>
  </si>
  <si>
    <t>HDMITX</t>
    <phoneticPr fontId="2" type="noConversion"/>
  </si>
  <si>
    <t>reg_en_clk_432_synth</t>
    <phoneticPr fontId="2" type="noConversion"/>
  </si>
  <si>
    <t>SKIP</t>
    <phoneticPr fontId="2" type="noConversion"/>
  </si>
  <si>
    <t>hal_hdmitx_atop_tbl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</si>
</sst>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00\.000&quot;"/>
  </numFmts>
  <fonts count="1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3" fillId="0" borderId="1" xfId="0" applyFont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3" borderId="1" xfId="0" applyFont="1" applyFill="1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176" fontId="8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10" fillId="0" borderId="0" xfId="1" applyFont="1" applyFill="1" applyAlignment="1" applyProtection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76" fontId="8" fillId="3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 wrapText="1"/>
    </xf>
    <xf numFmtId="0" fontId="8" fillId="3" borderId="0" xfId="0" applyFont="1" applyFill="1" applyBorder="1">
      <alignment vertical="center"/>
    </xf>
    <xf numFmtId="0" fontId="7" fillId="0" borderId="1" xfId="0" applyFont="1" applyFill="1" applyBorder="1" applyAlignment="1">
      <alignment horizontal="left" vertical="center"/>
    </xf>
    <xf numFmtId="0" fontId="13" fillId="0" borderId="0" xfId="0" applyFont="1" applyBorder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/>
    </xf>
    <xf numFmtId="0" fontId="12" fillId="11" borderId="1" xfId="0" applyNumberFormat="1" applyFont="1" applyFill="1" applyBorder="1" applyAlignment="1" applyProtection="1">
      <alignment horizontal="center" vertical="center"/>
    </xf>
    <xf numFmtId="0" fontId="13" fillId="11" borderId="1" xfId="0" applyFont="1" applyFill="1" applyBorder="1">
      <alignment vertical="center"/>
    </xf>
    <xf numFmtId="0" fontId="8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13" fillId="0" borderId="1" xfId="0" applyFont="1" applyFill="1" applyBorder="1" applyAlignment="1">
      <alignment vertical="center" shrinkToFit="1"/>
    </xf>
    <xf numFmtId="0" fontId="13" fillId="11" borderId="1" xfId="0" applyFont="1" applyFill="1" applyBorder="1" applyAlignment="1">
      <alignment vertical="center" shrinkToFit="1"/>
    </xf>
    <xf numFmtId="0" fontId="13" fillId="0" borderId="1" xfId="0" applyFont="1" applyBorder="1" applyAlignment="1">
      <alignment vertical="center" shrinkToFit="1"/>
    </xf>
    <xf numFmtId="0" fontId="13" fillId="0" borderId="0" xfId="0" applyFont="1" applyBorder="1" applyAlignment="1">
      <alignment vertical="center" shrinkToFit="1"/>
    </xf>
    <xf numFmtId="0" fontId="12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2" fillId="11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"/>
  <sheetViews>
    <sheetView tabSelected="1" zoomScale="80" workbookViewId="0">
      <selection activeCell="K23" sqref="K23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17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119</v>
      </c>
      <c r="B1" s="11"/>
      <c r="E1" s="77" t="s">
        <v>13</v>
      </c>
      <c r="F1" s="77"/>
      <c r="G1" s="10" t="s">
        <v>12</v>
      </c>
      <c r="I1" s="77" t="s">
        <v>11</v>
      </c>
      <c r="J1" s="77"/>
      <c r="K1" s="10" t="s">
        <v>26</v>
      </c>
      <c r="M1" s="9" t="s">
        <v>10</v>
      </c>
      <c r="O1" s="43" t="s">
        <v>30</v>
      </c>
      <c r="P1" s="44" t="s">
        <v>249</v>
      </c>
    </row>
    <row r="2" spans="1:16" x14ac:dyDescent="0.25">
      <c r="A2" s="8"/>
      <c r="B2" s="8"/>
      <c r="C2" s="8"/>
      <c r="D2" s="7"/>
      <c r="O2" s="43" t="s">
        <v>32</v>
      </c>
      <c r="P2" s="44" t="s">
        <v>245</v>
      </c>
    </row>
    <row r="3" spans="1:16" s="1" customFormat="1" ht="20.25" x14ac:dyDescent="0.25">
      <c r="A3" s="2" t="s">
        <v>9</v>
      </c>
      <c r="B3" s="2" t="s">
        <v>8</v>
      </c>
      <c r="C3" s="2" t="s">
        <v>7</v>
      </c>
      <c r="O3" s="46" t="s">
        <v>33</v>
      </c>
      <c r="P3" s="45" t="s">
        <v>34</v>
      </c>
    </row>
    <row r="4" spans="1:16" s="1" customFormat="1" ht="20.25" x14ac:dyDescent="0.25">
      <c r="A4" s="6" t="s">
        <v>6</v>
      </c>
      <c r="B4" s="5" t="s">
        <v>219</v>
      </c>
      <c r="C4" s="4" t="s">
        <v>2</v>
      </c>
      <c r="D4" s="3" t="s">
        <v>1</v>
      </c>
    </row>
    <row r="5" spans="1:16" s="1" customFormat="1" ht="20.25" x14ac:dyDescent="0.25">
      <c r="A5" s="6" t="s">
        <v>28</v>
      </c>
      <c r="B5" s="5" t="s">
        <v>220</v>
      </c>
      <c r="C5" s="4" t="s">
        <v>2</v>
      </c>
      <c r="D5" s="3" t="s">
        <v>1</v>
      </c>
    </row>
    <row r="6" spans="1:16" s="1" customFormat="1" ht="20.25" x14ac:dyDescent="0.25">
      <c r="A6" s="6" t="s">
        <v>246</v>
      </c>
      <c r="B6" s="5" t="s">
        <v>218</v>
      </c>
      <c r="C6" s="4" t="s">
        <v>2</v>
      </c>
      <c r="D6" s="3" t="s">
        <v>1</v>
      </c>
    </row>
    <row r="7" spans="1:16" s="1" customFormat="1" ht="20.25" x14ac:dyDescent="0.25">
      <c r="A7" s="6" t="s">
        <v>4</v>
      </c>
      <c r="B7" s="5" t="s">
        <v>221</v>
      </c>
      <c r="C7" s="4" t="s">
        <v>2</v>
      </c>
      <c r="D7" s="3" t="s">
        <v>1</v>
      </c>
    </row>
    <row r="8" spans="1:16" s="1" customFormat="1" ht="20.25" x14ac:dyDescent="0.25">
      <c r="A8" s="6" t="s">
        <v>3</v>
      </c>
      <c r="B8" s="5" t="s">
        <v>222</v>
      </c>
      <c r="C8" s="4" t="s">
        <v>2</v>
      </c>
      <c r="D8" s="3" t="s">
        <v>1</v>
      </c>
    </row>
    <row r="9" spans="1:16" s="1" customFormat="1" ht="20.25" x14ac:dyDescent="0.25">
      <c r="A9" s="6" t="s">
        <v>29</v>
      </c>
      <c r="B9" s="5" t="s">
        <v>217</v>
      </c>
      <c r="C9" s="4" t="s">
        <v>2</v>
      </c>
      <c r="D9" s="3" t="s">
        <v>1</v>
      </c>
    </row>
    <row r="10" spans="1:16" s="1" customFormat="1" ht="20.25" x14ac:dyDescent="0.25">
      <c r="A10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54</v>
      </c>
      <c r="D2" s="16" t="s">
        <v>55</v>
      </c>
      <c r="E2" s="17" t="s">
        <v>56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36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36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46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36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46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36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157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41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41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41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41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41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36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41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41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41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36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A24:C24"/>
    <mergeCell ref="D89:G89"/>
    <mergeCell ref="A1:C1"/>
    <mergeCell ref="A16:C16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M89"/>
  <sheetViews>
    <sheetView topLeftCell="A37" zoomScale="80" zoomScaleNormal="80" workbookViewId="0">
      <selection activeCell="G17" sqref="G17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247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46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46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157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M89"/>
  <sheetViews>
    <sheetView topLeftCell="A12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M89"/>
  <sheetViews>
    <sheetView topLeftCell="A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230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M89"/>
  <sheetViews>
    <sheetView topLeftCell="A9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231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73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233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234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M89"/>
  <sheetViews>
    <sheetView topLeftCell="A9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73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233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234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M89"/>
  <sheetViews>
    <sheetView topLeftCell="A12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46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46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157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46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M89"/>
  <sheetViews>
    <sheetView topLeftCell="A7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226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226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226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M89"/>
  <sheetViews>
    <sheetView topLeftCell="A12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226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226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226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M89"/>
  <sheetViews>
    <sheetView topLeftCell="A17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M89"/>
  <sheetViews>
    <sheetView topLeftCell="A7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M89"/>
  <sheetViews>
    <sheetView topLeftCell="A17" zoomScale="80" zoomScaleNormal="80" workbookViewId="0">
      <selection activeCell="M44" sqref="M44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M89"/>
  <sheetViews>
    <sheetView topLeftCell="A7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73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FFFF00"/>
  </sheetPr>
  <dimension ref="A1:M89"/>
  <sheetViews>
    <sheetView topLeftCell="A15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73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215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239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49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M89"/>
  <sheetViews>
    <sheetView topLeftCell="A1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227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227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228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M89"/>
  <sheetViews>
    <sheetView topLeftCell="A1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240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151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227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227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228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74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151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M89"/>
  <sheetViews>
    <sheetView topLeftCell="A1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242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155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243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244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242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155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243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M89"/>
  <sheetViews>
    <sheetView topLeftCell="A1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244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242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155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243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242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155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243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242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155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243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242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155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243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229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FF00"/>
  </sheetPr>
  <dimension ref="A1:M89"/>
  <sheetViews>
    <sheetView topLeftCell="A1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46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46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157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FFFF00"/>
  </sheetPr>
  <dimension ref="A1:M89"/>
  <sheetViews>
    <sheetView topLeftCell="A13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229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46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46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157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158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229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244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00"/>
  </sheetPr>
  <dimension ref="A1:M89"/>
  <sheetViews>
    <sheetView topLeftCell="A18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49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73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49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163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163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163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150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FFFF00"/>
  </sheetPr>
  <dimension ref="A1:M89"/>
  <sheetViews>
    <sheetView topLeftCell="A16"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46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159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160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161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46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46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46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165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233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234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1:M89"/>
  <sheetViews>
    <sheetView zoomScale="80" zoomScaleNormal="80" workbookViewId="0">
      <selection activeCell="D18" sqref="D18:D21"/>
    </sheetView>
  </sheetViews>
  <sheetFormatPr defaultRowHeight="16.5" x14ac:dyDescent="0.25"/>
  <cols>
    <col min="2" max="2" width="27.5" style="74" customWidth="1"/>
    <col min="3" max="3" width="24.625" customWidth="1"/>
    <col min="4" max="4" width="13.62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80" t="s">
        <v>164</v>
      </c>
      <c r="B1" s="80"/>
      <c r="C1" s="81"/>
      <c r="D1" s="39"/>
      <c r="E1" s="39"/>
      <c r="F1" s="40"/>
      <c r="G1" s="40"/>
      <c r="H1" s="40"/>
      <c r="I1" s="13" t="s">
        <v>51</v>
      </c>
      <c r="J1"/>
    </row>
    <row r="2" spans="1:13" x14ac:dyDescent="0.25">
      <c r="A2" s="14" t="s">
        <v>52</v>
      </c>
      <c r="B2" s="64" t="s">
        <v>53</v>
      </c>
      <c r="C2" s="15" t="s">
        <v>16</v>
      </c>
      <c r="D2" s="16" t="s">
        <v>55</v>
      </c>
      <c r="E2" s="17" t="s">
        <v>18</v>
      </c>
      <c r="F2" s="16" t="s">
        <v>19</v>
      </c>
      <c r="G2" s="16" t="s">
        <v>57</v>
      </c>
      <c r="H2" s="18" t="s">
        <v>58</v>
      </c>
      <c r="I2" s="19" t="s">
        <v>59</v>
      </c>
      <c r="J2"/>
    </row>
    <row r="3" spans="1:13" x14ac:dyDescent="0.25">
      <c r="A3" s="23"/>
      <c r="B3" s="65" t="s">
        <v>60</v>
      </c>
      <c r="C3" s="20" t="s">
        <v>61</v>
      </c>
      <c r="D3" s="21" t="s">
        <v>62</v>
      </c>
      <c r="E3" s="21" t="s">
        <v>37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128</v>
      </c>
      <c r="I3" s="47" t="s">
        <v>46</v>
      </c>
      <c r="J3"/>
      <c r="M3" s="27">
        <v>38</v>
      </c>
    </row>
    <row r="4" spans="1:13" x14ac:dyDescent="0.25">
      <c r="A4" s="23"/>
      <c r="B4" s="65" t="s">
        <v>60</v>
      </c>
      <c r="C4" s="20" t="s">
        <v>61</v>
      </c>
      <c r="D4" s="21" t="s">
        <v>62</v>
      </c>
      <c r="E4" s="21" t="s">
        <v>37</v>
      </c>
      <c r="F4" s="26" t="str">
        <f t="shared" ref="F4:F14" si="0">"0x"&amp;TEXT(DEC2HEX(HEX2DEC(M4)/2), "00")</f>
        <v>0x1C</v>
      </c>
      <c r="G4" s="61" t="str">
        <f t="shared" ref="G4:G14" si="1">IF(MOD(HEX2DEC(M4),2), "H", "L")</f>
        <v>H</v>
      </c>
      <c r="H4" s="47" t="s">
        <v>128</v>
      </c>
      <c r="I4" s="47" t="s">
        <v>46</v>
      </c>
      <c r="J4"/>
      <c r="M4" s="27">
        <v>39</v>
      </c>
    </row>
    <row r="5" spans="1:13" x14ac:dyDescent="0.25">
      <c r="A5" s="23"/>
      <c r="B5" s="65" t="s">
        <v>63</v>
      </c>
      <c r="C5" s="20" t="s">
        <v>64</v>
      </c>
      <c r="D5" s="21" t="s">
        <v>62</v>
      </c>
      <c r="E5" s="21" t="s">
        <v>37</v>
      </c>
      <c r="F5" s="26" t="str">
        <f t="shared" si="0"/>
        <v>0x1D</v>
      </c>
      <c r="G5" s="25" t="str">
        <f t="shared" si="1"/>
        <v>L</v>
      </c>
      <c r="H5" s="47" t="s">
        <v>128</v>
      </c>
      <c r="I5" s="47" t="s">
        <v>46</v>
      </c>
      <c r="J5"/>
      <c r="M5" s="27" t="s">
        <v>120</v>
      </c>
    </row>
    <row r="6" spans="1:13" x14ac:dyDescent="0.25">
      <c r="A6" s="23"/>
      <c r="B6" s="65" t="s">
        <v>63</v>
      </c>
      <c r="C6" s="20" t="s">
        <v>64</v>
      </c>
      <c r="D6" s="21" t="s">
        <v>62</v>
      </c>
      <c r="E6" s="21" t="s">
        <v>37</v>
      </c>
      <c r="F6" s="26" t="str">
        <f t="shared" si="0"/>
        <v>0x1D</v>
      </c>
      <c r="G6" s="61" t="str">
        <f t="shared" si="1"/>
        <v>H</v>
      </c>
      <c r="H6" s="47" t="s">
        <v>128</v>
      </c>
      <c r="I6" s="47" t="s">
        <v>46</v>
      </c>
      <c r="J6"/>
      <c r="M6" s="27" t="s">
        <v>121</v>
      </c>
    </row>
    <row r="7" spans="1:13" x14ac:dyDescent="0.25">
      <c r="A7" s="23"/>
      <c r="B7" s="65" t="s">
        <v>65</v>
      </c>
      <c r="C7" s="20" t="s">
        <v>66</v>
      </c>
      <c r="D7" s="21" t="s">
        <v>62</v>
      </c>
      <c r="E7" s="21" t="s">
        <v>37</v>
      </c>
      <c r="F7" s="26" t="str">
        <f t="shared" si="0"/>
        <v>0x1E</v>
      </c>
      <c r="G7" s="25" t="str">
        <f t="shared" si="1"/>
        <v>L</v>
      </c>
      <c r="H7" s="47" t="s">
        <v>128</v>
      </c>
      <c r="I7" s="47" t="s">
        <v>128</v>
      </c>
      <c r="J7"/>
      <c r="M7" s="27" t="s">
        <v>122</v>
      </c>
    </row>
    <row r="8" spans="1:13" x14ac:dyDescent="0.25">
      <c r="A8" s="23"/>
      <c r="B8" s="65" t="s">
        <v>65</v>
      </c>
      <c r="C8" s="20" t="s">
        <v>66</v>
      </c>
      <c r="D8" s="21" t="s">
        <v>62</v>
      </c>
      <c r="E8" s="21" t="s">
        <v>37</v>
      </c>
      <c r="F8" s="26" t="str">
        <f t="shared" si="0"/>
        <v>0x1E</v>
      </c>
      <c r="G8" s="61" t="str">
        <f t="shared" si="1"/>
        <v>H</v>
      </c>
      <c r="H8" s="47" t="s">
        <v>128</v>
      </c>
      <c r="I8" s="47" t="s">
        <v>128</v>
      </c>
      <c r="J8"/>
      <c r="M8" s="27" t="s">
        <v>123</v>
      </c>
    </row>
    <row r="9" spans="1:13" x14ac:dyDescent="0.25">
      <c r="A9" s="23"/>
      <c r="B9" s="65" t="s">
        <v>67</v>
      </c>
      <c r="C9" s="20" t="s">
        <v>68</v>
      </c>
      <c r="D9" s="21" t="s">
        <v>62</v>
      </c>
      <c r="E9" s="21" t="s">
        <v>37</v>
      </c>
      <c r="F9" s="26" t="str">
        <f t="shared" si="0"/>
        <v>0x1F</v>
      </c>
      <c r="G9" s="25" t="str">
        <f t="shared" si="1"/>
        <v>L</v>
      </c>
      <c r="H9" s="47" t="s">
        <v>128</v>
      </c>
      <c r="I9" s="47" t="s">
        <v>46</v>
      </c>
      <c r="J9"/>
      <c r="M9" s="27" t="s">
        <v>124</v>
      </c>
    </row>
    <row r="10" spans="1:13" x14ac:dyDescent="0.25">
      <c r="A10" s="23"/>
      <c r="B10" s="65" t="s">
        <v>67</v>
      </c>
      <c r="C10" s="20" t="s">
        <v>69</v>
      </c>
      <c r="D10" s="21" t="s">
        <v>62</v>
      </c>
      <c r="E10" s="21" t="s">
        <v>37</v>
      </c>
      <c r="F10" s="26" t="str">
        <f t="shared" si="0"/>
        <v>0x1F</v>
      </c>
      <c r="G10" s="61" t="str">
        <f t="shared" si="1"/>
        <v>H</v>
      </c>
      <c r="H10" s="47" t="s">
        <v>128</v>
      </c>
      <c r="I10" s="47" t="s">
        <v>46</v>
      </c>
      <c r="J10"/>
      <c r="M10" s="27" t="s">
        <v>125</v>
      </c>
    </row>
    <row r="11" spans="1:13" x14ac:dyDescent="0.25">
      <c r="A11" s="23"/>
      <c r="B11" s="65" t="s">
        <v>76</v>
      </c>
      <c r="C11" s="20" t="s">
        <v>77</v>
      </c>
      <c r="D11" s="21" t="s">
        <v>62</v>
      </c>
      <c r="E11" s="21" t="s">
        <v>37</v>
      </c>
      <c r="F11" s="26" t="str">
        <f t="shared" si="0"/>
        <v>0x52</v>
      </c>
      <c r="G11" s="25" t="str">
        <f t="shared" si="1"/>
        <v>L</v>
      </c>
      <c r="H11" s="47" t="s">
        <v>73</v>
      </c>
      <c r="I11" s="47" t="s">
        <v>73</v>
      </c>
      <c r="J11"/>
      <c r="M11" s="27" t="s">
        <v>126</v>
      </c>
    </row>
    <row r="12" spans="1:13" x14ac:dyDescent="0.25">
      <c r="A12" s="23"/>
      <c r="B12" s="65"/>
      <c r="C12" s="20" t="s">
        <v>78</v>
      </c>
      <c r="D12" s="21" t="s">
        <v>62</v>
      </c>
      <c r="E12" s="21" t="s">
        <v>37</v>
      </c>
      <c r="F12" s="26" t="str">
        <f t="shared" si="0"/>
        <v>0x5D</v>
      </c>
      <c r="G12" s="61" t="str">
        <f t="shared" si="1"/>
        <v>H</v>
      </c>
      <c r="H12" s="47" t="s">
        <v>46</v>
      </c>
      <c r="I12" s="47" t="s">
        <v>46</v>
      </c>
      <c r="J12"/>
      <c r="M12" s="27" t="s">
        <v>127</v>
      </c>
    </row>
    <row r="13" spans="1:13" x14ac:dyDescent="0.25">
      <c r="A13" s="41"/>
      <c r="B13" s="66"/>
      <c r="C13" s="42"/>
      <c r="D13" s="21" t="s">
        <v>62</v>
      </c>
      <c r="E13" s="21" t="s">
        <v>22</v>
      </c>
      <c r="F13" s="26" t="str">
        <f t="shared" si="0"/>
        <v>0x1B</v>
      </c>
      <c r="G13" s="25" t="str">
        <f t="shared" si="1"/>
        <v>L</v>
      </c>
      <c r="H13" s="47" t="s">
        <v>128</v>
      </c>
      <c r="I13" s="47" t="s">
        <v>157</v>
      </c>
      <c r="J13"/>
      <c r="M13" s="27">
        <v>36</v>
      </c>
    </row>
    <row r="14" spans="1:13" x14ac:dyDescent="0.25">
      <c r="A14" s="41"/>
      <c r="B14" s="66"/>
      <c r="C14" s="42"/>
      <c r="D14" s="21" t="s">
        <v>62</v>
      </c>
      <c r="E14" s="21" t="s">
        <v>22</v>
      </c>
      <c r="F14" s="26" t="str">
        <f t="shared" si="0"/>
        <v>0x1B</v>
      </c>
      <c r="G14" s="61" t="str">
        <f t="shared" si="1"/>
        <v>H</v>
      </c>
      <c r="H14" s="47" t="s">
        <v>128</v>
      </c>
      <c r="I14" s="47" t="s">
        <v>46</v>
      </c>
      <c r="J14"/>
      <c r="M14" s="27">
        <v>37</v>
      </c>
    </row>
    <row r="15" spans="1:13" x14ac:dyDescent="0.25">
      <c r="A15" s="28"/>
      <c r="B15" s="67"/>
      <c r="C15" s="29"/>
      <c r="D15" s="48"/>
      <c r="E15" s="48"/>
      <c r="F15" s="49"/>
      <c r="G15" s="75"/>
      <c r="H15" s="76"/>
      <c r="I15" s="76"/>
      <c r="J15"/>
    </row>
    <row r="16" spans="1:13" ht="27" x14ac:dyDescent="0.25">
      <c r="A16" s="78" t="s">
        <v>212</v>
      </c>
      <c r="B16" s="78"/>
      <c r="C16" s="78"/>
      <c r="D16" s="39"/>
      <c r="E16" s="39"/>
      <c r="F16" s="40"/>
      <c r="G16" s="40"/>
      <c r="H16" s="40"/>
      <c r="I16" s="13" t="s">
        <v>51</v>
      </c>
    </row>
    <row r="17" spans="1:13" x14ac:dyDescent="0.25">
      <c r="A17" s="14" t="s">
        <v>14</v>
      </c>
      <c r="B17" s="64" t="s">
        <v>15</v>
      </c>
      <c r="C17" s="15" t="s">
        <v>16</v>
      </c>
      <c r="D17" s="16" t="s">
        <v>17</v>
      </c>
      <c r="E17" s="17" t="s">
        <v>18</v>
      </c>
      <c r="F17" s="16" t="s">
        <v>19</v>
      </c>
      <c r="G17" s="16" t="s">
        <v>20</v>
      </c>
      <c r="H17" s="18" t="s">
        <v>21</v>
      </c>
      <c r="I17" s="19" t="s">
        <v>59</v>
      </c>
    </row>
    <row r="18" spans="1:13" x14ac:dyDescent="0.25">
      <c r="A18" s="23"/>
      <c r="B18" s="65" t="s">
        <v>72</v>
      </c>
      <c r="C18" s="20"/>
      <c r="D18" s="21" t="s">
        <v>5</v>
      </c>
      <c r="E18" s="21" t="s">
        <v>22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128</v>
      </c>
      <c r="I18" s="21" t="s">
        <v>148</v>
      </c>
      <c r="M18" s="27">
        <v>0</v>
      </c>
    </row>
    <row r="19" spans="1:13" x14ac:dyDescent="0.25">
      <c r="A19" s="41"/>
      <c r="B19" s="65" t="s">
        <v>166</v>
      </c>
      <c r="C19" s="42"/>
      <c r="D19" s="21" t="s">
        <v>5</v>
      </c>
      <c r="E19" s="21" t="s">
        <v>22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128</v>
      </c>
      <c r="I19" s="24" t="s">
        <v>216</v>
      </c>
      <c r="M19" s="27">
        <v>1</v>
      </c>
    </row>
    <row r="20" spans="1:13" x14ac:dyDescent="0.25">
      <c r="A20" s="23"/>
      <c r="B20" s="65" t="s">
        <v>72</v>
      </c>
      <c r="C20" s="20"/>
      <c r="D20" s="21" t="s">
        <v>5</v>
      </c>
      <c r="E20" s="21" t="s">
        <v>22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215</v>
      </c>
      <c r="I20" s="21" t="s">
        <v>215</v>
      </c>
      <c r="J20"/>
      <c r="M20" s="27">
        <v>6</v>
      </c>
    </row>
    <row r="21" spans="1:13" x14ac:dyDescent="0.25">
      <c r="A21" s="41"/>
      <c r="B21" s="65" t="s">
        <v>166</v>
      </c>
      <c r="C21" s="42"/>
      <c r="D21" s="21" t="s">
        <v>5</v>
      </c>
      <c r="E21" s="21" t="s">
        <v>22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128</v>
      </c>
      <c r="I21" s="24" t="s">
        <v>46</v>
      </c>
      <c r="J21"/>
      <c r="M21" s="27">
        <v>8</v>
      </c>
    </row>
    <row r="22" spans="1:13" x14ac:dyDescent="0.25">
      <c r="A22" s="28"/>
      <c r="B22" s="67"/>
      <c r="C22" s="29"/>
      <c r="D22" s="48"/>
      <c r="E22" s="48"/>
      <c r="F22" s="49"/>
      <c r="G22" s="75"/>
      <c r="H22" s="76"/>
      <c r="I22" s="76"/>
      <c r="J22"/>
    </row>
    <row r="23" spans="1:13" x14ac:dyDescent="0.25">
      <c r="A23" s="28"/>
      <c r="B23" s="67"/>
      <c r="C23" s="29"/>
      <c r="D23" s="48"/>
      <c r="E23" s="48"/>
      <c r="F23" s="49"/>
      <c r="G23" s="75"/>
      <c r="H23" s="76"/>
      <c r="I23" s="76"/>
      <c r="J23"/>
    </row>
    <row r="24" spans="1:13" ht="27" x14ac:dyDescent="0.25">
      <c r="A24" s="78" t="s">
        <v>225</v>
      </c>
      <c r="B24" s="78"/>
      <c r="C24" s="78"/>
      <c r="D24" s="39"/>
      <c r="E24" s="39"/>
      <c r="F24" s="40"/>
      <c r="G24" s="40"/>
      <c r="H24" s="40"/>
      <c r="I24" s="13" t="s">
        <v>51</v>
      </c>
    </row>
    <row r="25" spans="1:13" x14ac:dyDescent="0.25">
      <c r="A25" s="14" t="s">
        <v>14</v>
      </c>
      <c r="B25" s="64" t="s">
        <v>15</v>
      </c>
      <c r="C25" s="15" t="s">
        <v>16</v>
      </c>
      <c r="D25" s="16" t="s">
        <v>17</v>
      </c>
      <c r="E25" s="17" t="s">
        <v>18</v>
      </c>
      <c r="F25" s="16" t="s">
        <v>19</v>
      </c>
      <c r="G25" s="16" t="s">
        <v>20</v>
      </c>
      <c r="H25" s="18" t="s">
        <v>21</v>
      </c>
      <c r="I25" s="19" t="s">
        <v>59</v>
      </c>
    </row>
    <row r="26" spans="1:13" x14ac:dyDescent="0.25">
      <c r="A26" s="23"/>
      <c r="B26" s="65" t="s">
        <v>213</v>
      </c>
      <c r="C26" s="20"/>
      <c r="D26" s="21" t="s">
        <v>29</v>
      </c>
      <c r="E26" s="21" t="s">
        <v>22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73</v>
      </c>
      <c r="I26" s="21" t="s">
        <v>73</v>
      </c>
      <c r="M26" s="27">
        <v>20</v>
      </c>
    </row>
    <row r="27" spans="1:13" x14ac:dyDescent="0.25">
      <c r="A27" s="41"/>
      <c r="B27" s="65" t="s">
        <v>166</v>
      </c>
      <c r="C27" s="42"/>
      <c r="D27" s="21" t="s">
        <v>29</v>
      </c>
      <c r="E27" s="21" t="s">
        <v>22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49</v>
      </c>
      <c r="I27" s="24" t="s">
        <v>46</v>
      </c>
      <c r="M27" s="27">
        <v>20</v>
      </c>
    </row>
    <row r="28" spans="1:13" x14ac:dyDescent="0.25">
      <c r="A28" s="23"/>
      <c r="B28" s="65" t="s">
        <v>214</v>
      </c>
      <c r="C28" s="20"/>
      <c r="D28" s="21" t="s">
        <v>29</v>
      </c>
      <c r="E28" s="21" t="s">
        <v>22</v>
      </c>
      <c r="F28" s="26" t="str">
        <f t="shared" si="6"/>
        <v>0x10</v>
      </c>
      <c r="G28" s="30" t="str">
        <f t="shared" si="7"/>
        <v>H</v>
      </c>
      <c r="H28" s="21" t="s">
        <v>73</v>
      </c>
      <c r="I28" s="21" t="s">
        <v>73</v>
      </c>
      <c r="M28" s="27">
        <v>21</v>
      </c>
    </row>
    <row r="29" spans="1:13" x14ac:dyDescent="0.25">
      <c r="A29" s="41"/>
      <c r="B29" s="65" t="s">
        <v>167</v>
      </c>
      <c r="C29" s="42"/>
      <c r="D29" s="21" t="s">
        <v>29</v>
      </c>
      <c r="E29" s="21" t="s">
        <v>22</v>
      </c>
      <c r="F29" s="26" t="str">
        <f t="shared" si="6"/>
        <v>0x10</v>
      </c>
      <c r="G29" s="30" t="str">
        <f t="shared" si="7"/>
        <v>H</v>
      </c>
      <c r="H29" s="24" t="s">
        <v>49</v>
      </c>
      <c r="I29" s="24" t="s">
        <v>49</v>
      </c>
      <c r="M29" s="27">
        <v>21</v>
      </c>
    </row>
    <row r="30" spans="1:13" x14ac:dyDescent="0.25">
      <c r="A30" s="23"/>
      <c r="B30" s="65" t="s">
        <v>207</v>
      </c>
      <c r="C30" s="20"/>
      <c r="D30" s="21" t="s">
        <v>29</v>
      </c>
      <c r="E30" s="21" t="s">
        <v>22</v>
      </c>
      <c r="F30" s="26" t="str">
        <f t="shared" si="6"/>
        <v>0x10</v>
      </c>
      <c r="G30" s="30" t="str">
        <f t="shared" si="7"/>
        <v>L</v>
      </c>
      <c r="H30" s="21" t="s">
        <v>75</v>
      </c>
      <c r="I30" s="21" t="s">
        <v>46</v>
      </c>
      <c r="M30" s="27">
        <v>20</v>
      </c>
    </row>
    <row r="31" spans="1:13" x14ac:dyDescent="0.25">
      <c r="A31" s="41"/>
      <c r="B31" s="65" t="s">
        <v>208</v>
      </c>
      <c r="C31" s="42"/>
      <c r="D31" s="21" t="s">
        <v>29</v>
      </c>
      <c r="E31" s="21" t="s">
        <v>22</v>
      </c>
      <c r="F31" s="26" t="str">
        <f t="shared" si="6"/>
        <v>0x10</v>
      </c>
      <c r="G31" s="30" t="str">
        <f t="shared" si="7"/>
        <v>H</v>
      </c>
      <c r="H31" s="24" t="s">
        <v>75</v>
      </c>
      <c r="I31" s="24" t="s">
        <v>46</v>
      </c>
      <c r="M31" s="27">
        <v>21</v>
      </c>
    </row>
    <row r="32" spans="1:13" x14ac:dyDescent="0.25">
      <c r="A32" s="23"/>
      <c r="B32" s="65" t="s">
        <v>209</v>
      </c>
      <c r="C32" s="20"/>
      <c r="D32" s="21" t="s">
        <v>29</v>
      </c>
      <c r="E32" s="21" t="s">
        <v>22</v>
      </c>
      <c r="F32" s="26" t="str">
        <f t="shared" si="6"/>
        <v>0x10</v>
      </c>
      <c r="G32" s="30" t="str">
        <f t="shared" si="7"/>
        <v>H</v>
      </c>
      <c r="H32" s="21" t="s">
        <v>147</v>
      </c>
      <c r="I32" s="21" t="s">
        <v>46</v>
      </c>
      <c r="M32" s="27">
        <v>21</v>
      </c>
    </row>
    <row r="33" spans="1:13" x14ac:dyDescent="0.25">
      <c r="A33" s="41"/>
      <c r="B33" s="65" t="s">
        <v>210</v>
      </c>
      <c r="C33" s="42"/>
      <c r="D33" s="21" t="s">
        <v>29</v>
      </c>
      <c r="E33" s="21" t="s">
        <v>22</v>
      </c>
      <c r="F33" s="26" t="str">
        <f t="shared" si="6"/>
        <v>0x11</v>
      </c>
      <c r="G33" s="30" t="str">
        <f t="shared" si="7"/>
        <v>L</v>
      </c>
      <c r="H33" s="24" t="s">
        <v>73</v>
      </c>
      <c r="I33" s="24" t="s">
        <v>46</v>
      </c>
      <c r="M33" s="27">
        <v>22</v>
      </c>
    </row>
    <row r="34" spans="1:13" x14ac:dyDescent="0.25">
      <c r="A34" s="41"/>
      <c r="B34" s="65" t="s">
        <v>70</v>
      </c>
      <c r="C34" s="42"/>
      <c r="D34" s="21" t="s">
        <v>29</v>
      </c>
      <c r="E34" s="21" t="s">
        <v>22</v>
      </c>
      <c r="F34" s="26" t="str">
        <f t="shared" si="6"/>
        <v>0x16</v>
      </c>
      <c r="G34" s="30" t="str">
        <f t="shared" si="7"/>
        <v>L</v>
      </c>
      <c r="H34" s="24" t="s">
        <v>74</v>
      </c>
      <c r="I34" s="24" t="s">
        <v>46</v>
      </c>
      <c r="M34" s="27" t="s">
        <v>129</v>
      </c>
    </row>
    <row r="35" spans="1:13" x14ac:dyDescent="0.25">
      <c r="A35" s="41"/>
      <c r="B35" s="65" t="s">
        <v>168</v>
      </c>
      <c r="C35" s="42"/>
      <c r="D35" s="21" t="s">
        <v>29</v>
      </c>
      <c r="E35" s="21" t="s">
        <v>22</v>
      </c>
      <c r="F35" s="26" t="str">
        <f t="shared" si="6"/>
        <v>0x16</v>
      </c>
      <c r="G35" s="30" t="str">
        <f t="shared" si="7"/>
        <v>L</v>
      </c>
      <c r="H35" s="24" t="s">
        <v>148</v>
      </c>
      <c r="I35" s="24" t="s">
        <v>148</v>
      </c>
      <c r="M35" s="27" t="s">
        <v>129</v>
      </c>
    </row>
    <row r="36" spans="1:13" x14ac:dyDescent="0.25">
      <c r="A36" s="41"/>
      <c r="B36" s="65" t="s">
        <v>169</v>
      </c>
      <c r="C36" s="42"/>
      <c r="D36" s="21" t="s">
        <v>29</v>
      </c>
      <c r="E36" s="21" t="s">
        <v>22</v>
      </c>
      <c r="F36" s="26" t="str">
        <f t="shared" si="6"/>
        <v>0x17</v>
      </c>
      <c r="G36" s="30" t="str">
        <f t="shared" si="7"/>
        <v>L</v>
      </c>
      <c r="H36" s="24" t="s">
        <v>74</v>
      </c>
      <c r="I36" s="24" t="s">
        <v>73</v>
      </c>
      <c r="M36" s="27" t="s">
        <v>130</v>
      </c>
    </row>
    <row r="37" spans="1:13" x14ac:dyDescent="0.25">
      <c r="A37" s="41"/>
      <c r="B37" s="65" t="s">
        <v>170</v>
      </c>
      <c r="C37" s="42"/>
      <c r="D37" s="21" t="s">
        <v>29</v>
      </c>
      <c r="E37" s="21" t="s">
        <v>22</v>
      </c>
      <c r="F37" s="26" t="str">
        <f t="shared" si="6"/>
        <v>0x17</v>
      </c>
      <c r="G37" s="30" t="str">
        <f t="shared" si="7"/>
        <v>L</v>
      </c>
      <c r="H37" s="24" t="s">
        <v>148</v>
      </c>
      <c r="I37" s="24" t="s">
        <v>148</v>
      </c>
      <c r="M37" s="27" t="s">
        <v>130</v>
      </c>
    </row>
    <row r="38" spans="1:13" x14ac:dyDescent="0.25">
      <c r="A38" s="41"/>
      <c r="B38" s="65" t="s">
        <v>171</v>
      </c>
      <c r="C38" s="42"/>
      <c r="D38" s="21" t="s">
        <v>29</v>
      </c>
      <c r="E38" s="21" t="s">
        <v>22</v>
      </c>
      <c r="F38" s="26" t="str">
        <f t="shared" si="6"/>
        <v>0x18</v>
      </c>
      <c r="G38" s="30" t="str">
        <f t="shared" si="7"/>
        <v>L</v>
      </c>
      <c r="H38" s="24" t="s">
        <v>74</v>
      </c>
      <c r="I38" s="24" t="s">
        <v>158</v>
      </c>
      <c r="M38" s="27">
        <v>30</v>
      </c>
    </row>
    <row r="39" spans="1:13" x14ac:dyDescent="0.25">
      <c r="A39" s="41"/>
      <c r="B39" s="65" t="s">
        <v>172</v>
      </c>
      <c r="C39" s="42"/>
      <c r="D39" s="21" t="s">
        <v>29</v>
      </c>
      <c r="E39" s="21" t="s">
        <v>22</v>
      </c>
      <c r="F39" s="26" t="str">
        <f t="shared" si="6"/>
        <v>0x18</v>
      </c>
      <c r="G39" s="30" t="str">
        <f t="shared" si="7"/>
        <v>L</v>
      </c>
      <c r="H39" s="24" t="s">
        <v>148</v>
      </c>
      <c r="I39" s="24" t="s">
        <v>148</v>
      </c>
      <c r="M39" s="27">
        <v>30</v>
      </c>
    </row>
    <row r="40" spans="1:13" x14ac:dyDescent="0.25">
      <c r="A40" s="41"/>
      <c r="B40" s="65" t="s">
        <v>173</v>
      </c>
      <c r="C40" s="42"/>
      <c r="D40" s="21" t="s">
        <v>29</v>
      </c>
      <c r="E40" s="21" t="s">
        <v>22</v>
      </c>
      <c r="F40" s="26" t="str">
        <f t="shared" si="6"/>
        <v>0x19</v>
      </c>
      <c r="G40" s="30" t="str">
        <f t="shared" si="7"/>
        <v>L</v>
      </c>
      <c r="H40" s="24" t="s">
        <v>74</v>
      </c>
      <c r="I40" s="24" t="s">
        <v>74</v>
      </c>
      <c r="M40" s="27">
        <v>32</v>
      </c>
    </row>
    <row r="41" spans="1:13" x14ac:dyDescent="0.25">
      <c r="A41" s="41"/>
      <c r="B41" s="65" t="s">
        <v>174</v>
      </c>
      <c r="C41" s="42"/>
      <c r="D41" s="21" t="s">
        <v>29</v>
      </c>
      <c r="E41" s="21" t="s">
        <v>22</v>
      </c>
      <c r="F41" s="26" t="str">
        <f t="shared" si="6"/>
        <v>0x19</v>
      </c>
      <c r="G41" s="30" t="str">
        <f t="shared" si="7"/>
        <v>L</v>
      </c>
      <c r="H41" s="24" t="s">
        <v>148</v>
      </c>
      <c r="I41" s="24" t="s">
        <v>148</v>
      </c>
      <c r="M41" s="27">
        <v>32</v>
      </c>
    </row>
    <row r="42" spans="1:13" s="22" customFormat="1" x14ac:dyDescent="0.25">
      <c r="A42" s="41"/>
      <c r="B42" s="68" t="s">
        <v>241</v>
      </c>
      <c r="C42" s="42" t="s">
        <v>35</v>
      </c>
      <c r="D42" s="21" t="s">
        <v>29</v>
      </c>
      <c r="E42" s="21" t="s">
        <v>37</v>
      </c>
      <c r="F42" s="26" t="str">
        <f t="shared" si="6"/>
        <v>0x15</v>
      </c>
      <c r="G42" s="30" t="str">
        <f t="shared" si="7"/>
        <v>H</v>
      </c>
      <c r="H42" s="24" t="s">
        <v>149</v>
      </c>
      <c r="I42" s="24" t="s">
        <v>46</v>
      </c>
      <c r="J42" s="50"/>
      <c r="K42" s="50"/>
      <c r="L42" s="50"/>
      <c r="M42" s="36" t="s">
        <v>131</v>
      </c>
    </row>
    <row r="43" spans="1:13" s="22" customFormat="1" x14ac:dyDescent="0.25">
      <c r="A43" s="41"/>
      <c r="B43" s="68" t="s">
        <v>175</v>
      </c>
      <c r="C43" s="42" t="s">
        <v>38</v>
      </c>
      <c r="D43" s="21" t="s">
        <v>29</v>
      </c>
      <c r="E43" s="21" t="s">
        <v>37</v>
      </c>
      <c r="F43" s="26" t="str">
        <f t="shared" si="6"/>
        <v>0x02</v>
      </c>
      <c r="G43" s="30" t="str">
        <f t="shared" si="7"/>
        <v>L</v>
      </c>
      <c r="H43" s="24" t="s">
        <v>128</v>
      </c>
      <c r="I43" s="24" t="s">
        <v>232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8" t="s">
        <v>175</v>
      </c>
      <c r="C44" s="42" t="s">
        <v>39</v>
      </c>
      <c r="D44" s="21" t="s">
        <v>29</v>
      </c>
      <c r="E44" s="21" t="s">
        <v>37</v>
      </c>
      <c r="F44" s="26" t="str">
        <f t="shared" si="6"/>
        <v>0x02</v>
      </c>
      <c r="G44" s="30" t="str">
        <f t="shared" si="7"/>
        <v>H</v>
      </c>
      <c r="H44" s="24" t="s">
        <v>128</v>
      </c>
      <c r="I44" s="24" t="s">
        <v>233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8" t="s">
        <v>175</v>
      </c>
      <c r="C45" s="42" t="s">
        <v>39</v>
      </c>
      <c r="D45" s="21" t="s">
        <v>29</v>
      </c>
      <c r="E45" s="21" t="s">
        <v>37</v>
      </c>
      <c r="F45" s="26" t="str">
        <f t="shared" si="6"/>
        <v>0x03</v>
      </c>
      <c r="G45" s="30" t="str">
        <f t="shared" si="7"/>
        <v>L</v>
      </c>
      <c r="H45" s="24" t="s">
        <v>128</v>
      </c>
      <c r="I45" s="24" t="s">
        <v>234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8" t="s">
        <v>175</v>
      </c>
      <c r="C46" s="42"/>
      <c r="D46" s="21" t="s">
        <v>40</v>
      </c>
      <c r="E46" s="21" t="s">
        <v>37</v>
      </c>
      <c r="F46" s="26" t="str">
        <f t="shared" si="6"/>
        <v>0x03</v>
      </c>
      <c r="G46" s="30" t="str">
        <f t="shared" si="7"/>
        <v>H</v>
      </c>
      <c r="H46" s="24" t="s">
        <v>150</v>
      </c>
      <c r="I46" s="24" t="s">
        <v>46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8" t="s">
        <v>176</v>
      </c>
      <c r="C47" s="42"/>
      <c r="D47" s="21" t="s">
        <v>40</v>
      </c>
      <c r="E47" s="21" t="s">
        <v>37</v>
      </c>
      <c r="F47" s="26" t="str">
        <f t="shared" si="6"/>
        <v>0x79</v>
      </c>
      <c r="G47" s="30" t="str">
        <f t="shared" si="7"/>
        <v>H</v>
      </c>
      <c r="H47" s="24" t="s">
        <v>49</v>
      </c>
      <c r="I47" s="24" t="s">
        <v>46</v>
      </c>
      <c r="J47" s="50"/>
      <c r="K47" s="50"/>
      <c r="L47" s="50"/>
      <c r="M47" s="36" t="s">
        <v>132</v>
      </c>
    </row>
    <row r="48" spans="1:13" s="22" customFormat="1" x14ac:dyDescent="0.25">
      <c r="A48" s="41"/>
      <c r="B48" s="68"/>
      <c r="C48" s="42"/>
      <c r="D48" s="21" t="s">
        <v>40</v>
      </c>
      <c r="E48" s="21" t="s">
        <v>37</v>
      </c>
      <c r="F48" s="26" t="str">
        <f t="shared" si="6"/>
        <v>0x26</v>
      </c>
      <c r="G48" s="30" t="str">
        <f t="shared" si="7"/>
        <v>H</v>
      </c>
      <c r="H48" s="24" t="s">
        <v>73</v>
      </c>
      <c r="I48" s="24" t="s">
        <v>46</v>
      </c>
      <c r="J48" s="50"/>
      <c r="K48" s="50"/>
      <c r="L48" s="50"/>
      <c r="M48" s="36" t="s">
        <v>133</v>
      </c>
    </row>
    <row r="49" spans="1:13" s="22" customFormat="1" x14ac:dyDescent="0.25">
      <c r="A49" s="41"/>
      <c r="B49" s="68" t="s">
        <v>177</v>
      </c>
      <c r="C49" s="42"/>
      <c r="D49" s="21" t="s">
        <v>40</v>
      </c>
      <c r="E49" s="21" t="s">
        <v>37</v>
      </c>
      <c r="F49" s="26" t="str">
        <f t="shared" si="6"/>
        <v>0x46</v>
      </c>
      <c r="G49" s="30" t="str">
        <f t="shared" si="7"/>
        <v>H</v>
      </c>
      <c r="H49" s="24" t="s">
        <v>73</v>
      </c>
      <c r="I49" s="24" t="s">
        <v>73</v>
      </c>
      <c r="J49" s="50"/>
      <c r="K49" s="50"/>
      <c r="L49" s="50"/>
      <c r="M49" s="36" t="s">
        <v>134</v>
      </c>
    </row>
    <row r="50" spans="1:13" s="22" customFormat="1" x14ac:dyDescent="0.25">
      <c r="A50" s="41"/>
      <c r="B50" s="69" t="s">
        <v>178</v>
      </c>
      <c r="C50" s="62"/>
      <c r="D50" s="63" t="s">
        <v>40</v>
      </c>
      <c r="E50" s="63" t="s">
        <v>37</v>
      </c>
      <c r="F50" s="26" t="str">
        <f t="shared" si="6"/>
        <v>0x3D</v>
      </c>
      <c r="G50" s="30" t="str">
        <f t="shared" si="7"/>
        <v>H</v>
      </c>
      <c r="H50" s="24" t="s">
        <v>74</v>
      </c>
      <c r="I50" s="24" t="s">
        <v>46</v>
      </c>
      <c r="J50" s="50"/>
      <c r="K50" s="50"/>
      <c r="L50" s="50"/>
      <c r="M50" s="36" t="s">
        <v>135</v>
      </c>
    </row>
    <row r="51" spans="1:13" s="22" customFormat="1" x14ac:dyDescent="0.25">
      <c r="A51" s="41"/>
      <c r="B51" s="69" t="s">
        <v>179</v>
      </c>
      <c r="C51" s="62"/>
      <c r="D51" s="63" t="s">
        <v>29</v>
      </c>
      <c r="E51" s="63" t="s">
        <v>37</v>
      </c>
      <c r="F51" s="26" t="str">
        <f t="shared" si="6"/>
        <v>0x3D</v>
      </c>
      <c r="G51" s="30" t="str">
        <f t="shared" si="7"/>
        <v>L</v>
      </c>
      <c r="H51" s="24" t="s">
        <v>150</v>
      </c>
      <c r="I51" s="24" t="s">
        <v>74</v>
      </c>
      <c r="J51" s="50"/>
      <c r="K51" s="50"/>
      <c r="L51" s="50"/>
      <c r="M51" s="36" t="s">
        <v>136</v>
      </c>
    </row>
    <row r="52" spans="1:13" s="22" customFormat="1" x14ac:dyDescent="0.25">
      <c r="A52" s="41"/>
      <c r="B52" s="69" t="s">
        <v>180</v>
      </c>
      <c r="C52" s="62"/>
      <c r="D52" s="63" t="s">
        <v>40</v>
      </c>
      <c r="E52" s="63" t="s">
        <v>37</v>
      </c>
      <c r="F52" s="26" t="str">
        <f t="shared" si="6"/>
        <v>0x38</v>
      </c>
      <c r="G52" s="30" t="str">
        <f t="shared" si="7"/>
        <v>L</v>
      </c>
      <c r="H52" s="24" t="s">
        <v>74</v>
      </c>
      <c r="I52" s="24" t="s">
        <v>46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9" t="s">
        <v>181</v>
      </c>
      <c r="C53" s="62"/>
      <c r="D53" s="63" t="s">
        <v>40</v>
      </c>
      <c r="E53" s="63" t="s">
        <v>37</v>
      </c>
      <c r="F53" s="26" t="str">
        <f t="shared" si="6"/>
        <v>0x44</v>
      </c>
      <c r="G53" s="30" t="str">
        <f t="shared" si="7"/>
        <v>H</v>
      </c>
      <c r="H53" s="24" t="s">
        <v>151</v>
      </c>
      <c r="I53" s="24" t="s">
        <v>46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9" t="s">
        <v>182</v>
      </c>
      <c r="C54" s="62"/>
      <c r="D54" s="63" t="s">
        <v>40</v>
      </c>
      <c r="E54" s="63" t="s">
        <v>37</v>
      </c>
      <c r="F54" s="26" t="str">
        <f t="shared" si="6"/>
        <v>0x3C</v>
      </c>
      <c r="G54" s="30" t="str">
        <f t="shared" si="7"/>
        <v>L</v>
      </c>
      <c r="H54" s="24" t="s">
        <v>74</v>
      </c>
      <c r="I54" s="24" t="s">
        <v>73</v>
      </c>
      <c r="J54" s="50"/>
      <c r="K54" s="50"/>
      <c r="L54" s="50"/>
      <c r="M54" s="36">
        <v>78</v>
      </c>
    </row>
    <row r="55" spans="1:13" x14ac:dyDescent="0.25">
      <c r="A55" s="23"/>
      <c r="B55" s="70" t="s">
        <v>183</v>
      </c>
      <c r="C55" s="20" t="s">
        <v>71</v>
      </c>
      <c r="D55" s="21" t="s">
        <v>29</v>
      </c>
      <c r="E55" s="21" t="s">
        <v>37</v>
      </c>
      <c r="F55" s="26" t="str">
        <f t="shared" si="6"/>
        <v>0x3C</v>
      </c>
      <c r="G55" s="30" t="str">
        <f t="shared" si="7"/>
        <v>L</v>
      </c>
      <c r="H55" s="21" t="s">
        <v>152</v>
      </c>
      <c r="I55" s="21" t="s">
        <v>162</v>
      </c>
      <c r="J55"/>
      <c r="M55" s="27">
        <v>78</v>
      </c>
    </row>
    <row r="56" spans="1:13" x14ac:dyDescent="0.25">
      <c r="A56" s="23"/>
      <c r="B56" s="70" t="s">
        <v>184</v>
      </c>
      <c r="C56" s="20"/>
      <c r="D56" s="21" t="s">
        <v>29</v>
      </c>
      <c r="E56" s="21" t="s">
        <v>22</v>
      </c>
      <c r="F56" s="26" t="str">
        <f t="shared" si="6"/>
        <v>0x3C</v>
      </c>
      <c r="G56" s="30" t="str">
        <f t="shared" si="7"/>
        <v>H</v>
      </c>
      <c r="H56" s="21" t="s">
        <v>151</v>
      </c>
      <c r="I56" s="21" t="s">
        <v>151</v>
      </c>
      <c r="J56"/>
      <c r="M56" s="27">
        <v>79</v>
      </c>
    </row>
    <row r="57" spans="1:13" x14ac:dyDescent="0.25">
      <c r="A57" s="23"/>
      <c r="B57" s="70" t="s">
        <v>185</v>
      </c>
      <c r="C57" s="20"/>
      <c r="D57" s="21" t="s">
        <v>29</v>
      </c>
      <c r="E57" s="21" t="s">
        <v>22</v>
      </c>
      <c r="F57" s="26" t="str">
        <f t="shared" si="6"/>
        <v>0x34</v>
      </c>
      <c r="G57" s="30" t="str">
        <f t="shared" si="7"/>
        <v>L</v>
      </c>
      <c r="H57" s="21" t="s">
        <v>153</v>
      </c>
      <c r="I57" s="21" t="s">
        <v>46</v>
      </c>
      <c r="J57"/>
      <c r="M57" s="27">
        <v>68</v>
      </c>
    </row>
    <row r="58" spans="1:13" x14ac:dyDescent="0.25">
      <c r="A58" s="23"/>
      <c r="B58" s="70" t="s">
        <v>186</v>
      </c>
      <c r="C58" s="20"/>
      <c r="D58" s="21" t="s">
        <v>29</v>
      </c>
      <c r="E58" s="21" t="s">
        <v>22</v>
      </c>
      <c r="F58" s="26" t="str">
        <f t="shared" si="6"/>
        <v>0x35</v>
      </c>
      <c r="G58" s="30" t="str">
        <f t="shared" si="7"/>
        <v>L</v>
      </c>
      <c r="H58" s="21" t="s">
        <v>153</v>
      </c>
      <c r="I58" s="21" t="s">
        <v>46</v>
      </c>
      <c r="J58"/>
      <c r="M58" s="27" t="s">
        <v>137</v>
      </c>
    </row>
    <row r="59" spans="1:13" x14ac:dyDescent="0.25">
      <c r="A59" s="23"/>
      <c r="B59" s="70" t="s">
        <v>187</v>
      </c>
      <c r="C59" s="20"/>
      <c r="D59" s="21" t="s">
        <v>29</v>
      </c>
      <c r="E59" s="21" t="s">
        <v>22</v>
      </c>
      <c r="F59" s="26" t="str">
        <f t="shared" si="6"/>
        <v>0x36</v>
      </c>
      <c r="G59" s="30" t="str">
        <f t="shared" si="7"/>
        <v>L</v>
      </c>
      <c r="H59" s="21" t="s">
        <v>153</v>
      </c>
      <c r="I59" s="21" t="s">
        <v>46</v>
      </c>
      <c r="J59"/>
      <c r="M59" s="27" t="s">
        <v>138</v>
      </c>
    </row>
    <row r="60" spans="1:13" x14ac:dyDescent="0.25">
      <c r="A60" s="23"/>
      <c r="B60" s="70" t="s">
        <v>188</v>
      </c>
      <c r="C60" s="20"/>
      <c r="D60" s="21" t="s">
        <v>29</v>
      </c>
      <c r="E60" s="21" t="s">
        <v>22</v>
      </c>
      <c r="F60" s="26" t="str">
        <f t="shared" si="6"/>
        <v>0x37</v>
      </c>
      <c r="G60" s="30" t="str">
        <f t="shared" si="7"/>
        <v>L</v>
      </c>
      <c r="H60" s="21" t="s">
        <v>153</v>
      </c>
      <c r="I60" s="21" t="s">
        <v>46</v>
      </c>
      <c r="J60"/>
      <c r="M60" s="27" t="s">
        <v>139</v>
      </c>
    </row>
    <row r="61" spans="1:13" x14ac:dyDescent="0.25">
      <c r="A61" s="23"/>
      <c r="B61" s="70" t="s">
        <v>189</v>
      </c>
      <c r="C61" s="20"/>
      <c r="D61" s="21" t="s">
        <v>29</v>
      </c>
      <c r="E61" s="21" t="s">
        <v>22</v>
      </c>
      <c r="F61" s="26" t="str">
        <f t="shared" si="6"/>
        <v>0x30</v>
      </c>
      <c r="G61" s="30" t="str">
        <f t="shared" si="7"/>
        <v>L</v>
      </c>
      <c r="H61" s="21" t="s">
        <v>153</v>
      </c>
      <c r="I61" s="21" t="s">
        <v>163</v>
      </c>
      <c r="J61"/>
      <c r="M61" s="27">
        <v>60</v>
      </c>
    </row>
    <row r="62" spans="1:13" x14ac:dyDescent="0.25">
      <c r="A62" s="23"/>
      <c r="B62" s="70" t="s">
        <v>190</v>
      </c>
      <c r="C62" s="20"/>
      <c r="D62" s="21" t="s">
        <v>29</v>
      </c>
      <c r="E62" s="21" t="s">
        <v>22</v>
      </c>
      <c r="F62" s="26" t="str">
        <f t="shared" si="6"/>
        <v>0x30</v>
      </c>
      <c r="G62" s="30" t="str">
        <f t="shared" si="7"/>
        <v>H</v>
      </c>
      <c r="H62" s="21" t="s">
        <v>153</v>
      </c>
      <c r="I62" s="21" t="s">
        <v>235</v>
      </c>
      <c r="J62"/>
      <c r="M62" s="27">
        <v>61</v>
      </c>
    </row>
    <row r="63" spans="1:13" x14ac:dyDescent="0.25">
      <c r="A63" s="23"/>
      <c r="B63" s="70" t="s">
        <v>191</v>
      </c>
      <c r="C63" s="20"/>
      <c r="D63" s="21" t="s">
        <v>29</v>
      </c>
      <c r="E63" s="21" t="s">
        <v>22</v>
      </c>
      <c r="F63" s="26" t="str">
        <f t="shared" si="6"/>
        <v>0x31</v>
      </c>
      <c r="G63" s="30" t="str">
        <f t="shared" si="7"/>
        <v>L</v>
      </c>
      <c r="H63" s="21" t="s">
        <v>153</v>
      </c>
      <c r="I63" s="21" t="s">
        <v>235</v>
      </c>
      <c r="J63"/>
      <c r="M63" s="27">
        <v>62</v>
      </c>
    </row>
    <row r="64" spans="1:13" x14ac:dyDescent="0.25">
      <c r="A64" s="23"/>
      <c r="B64" s="70" t="s">
        <v>192</v>
      </c>
      <c r="C64" s="20"/>
      <c r="D64" s="21" t="s">
        <v>29</v>
      </c>
      <c r="E64" s="21" t="s">
        <v>22</v>
      </c>
      <c r="F64" s="26" t="str">
        <f t="shared" si="6"/>
        <v>0x31</v>
      </c>
      <c r="G64" s="30" t="str">
        <f t="shared" si="7"/>
        <v>H</v>
      </c>
      <c r="H64" s="21" t="s">
        <v>153</v>
      </c>
      <c r="I64" s="21" t="s">
        <v>235</v>
      </c>
      <c r="J64"/>
      <c r="M64" s="27">
        <v>63</v>
      </c>
    </row>
    <row r="65" spans="1:13" x14ac:dyDescent="0.25">
      <c r="A65" s="23"/>
      <c r="B65" s="70" t="s">
        <v>193</v>
      </c>
      <c r="C65" s="20"/>
      <c r="D65" s="21" t="s">
        <v>29</v>
      </c>
      <c r="E65" s="21" t="s">
        <v>22</v>
      </c>
      <c r="F65" s="26" t="str">
        <f t="shared" si="6"/>
        <v>0x2E</v>
      </c>
      <c r="G65" s="30" t="str">
        <f t="shared" si="7"/>
        <v>H</v>
      </c>
      <c r="H65" s="21" t="s">
        <v>154</v>
      </c>
      <c r="I65" s="21" t="s">
        <v>154</v>
      </c>
      <c r="J65"/>
      <c r="M65" s="27" t="s">
        <v>140</v>
      </c>
    </row>
    <row r="66" spans="1:13" x14ac:dyDescent="0.25">
      <c r="A66" s="23"/>
      <c r="B66" s="70" t="s">
        <v>194</v>
      </c>
      <c r="C66" s="20"/>
      <c r="D66" s="21" t="s">
        <v>29</v>
      </c>
      <c r="E66" s="21" t="s">
        <v>22</v>
      </c>
      <c r="F66" s="26" t="str">
        <f t="shared" si="6"/>
        <v>0x2F</v>
      </c>
      <c r="G66" s="30" t="str">
        <f t="shared" si="7"/>
        <v>H</v>
      </c>
      <c r="H66" s="21" t="s">
        <v>155</v>
      </c>
      <c r="I66" s="21" t="s">
        <v>155</v>
      </c>
      <c r="J66"/>
      <c r="M66" s="27" t="s">
        <v>141</v>
      </c>
    </row>
    <row r="67" spans="1:13" x14ac:dyDescent="0.25">
      <c r="A67" s="23"/>
      <c r="B67" s="70" t="s">
        <v>195</v>
      </c>
      <c r="C67" s="20"/>
      <c r="D67" s="21" t="s">
        <v>29</v>
      </c>
      <c r="E67" s="21" t="s">
        <v>22</v>
      </c>
      <c r="F67" s="26" t="str">
        <f t="shared" si="6"/>
        <v>0x39</v>
      </c>
      <c r="G67" s="30" t="str">
        <f t="shared" si="7"/>
        <v>L</v>
      </c>
      <c r="H67" s="21" t="s">
        <v>128</v>
      </c>
      <c r="I67" s="21" t="s">
        <v>46</v>
      </c>
      <c r="J67"/>
      <c r="M67" s="27">
        <v>72</v>
      </c>
    </row>
    <row r="68" spans="1:13" x14ac:dyDescent="0.25">
      <c r="A68" s="23"/>
      <c r="B68" s="70" t="s">
        <v>196</v>
      </c>
      <c r="C68" s="20"/>
      <c r="D68" s="21" t="s">
        <v>29</v>
      </c>
      <c r="E68" s="21" t="s">
        <v>22</v>
      </c>
      <c r="F68" s="26" t="str">
        <f t="shared" si="6"/>
        <v>0x39</v>
      </c>
      <c r="G68" s="30" t="str">
        <f t="shared" si="7"/>
        <v>H</v>
      </c>
      <c r="H68" s="21" t="s">
        <v>150</v>
      </c>
      <c r="I68" s="21" t="s">
        <v>46</v>
      </c>
      <c r="J68"/>
      <c r="M68" s="27">
        <v>73</v>
      </c>
    </row>
    <row r="69" spans="1:13" x14ac:dyDescent="0.25">
      <c r="A69" s="23"/>
      <c r="B69" s="70" t="s">
        <v>197</v>
      </c>
      <c r="C69" s="20"/>
      <c r="D69" s="21" t="s">
        <v>29</v>
      </c>
      <c r="E69" s="21" t="s">
        <v>22</v>
      </c>
      <c r="F69" s="26" t="str">
        <f t="shared" si="6"/>
        <v>0x3A</v>
      </c>
      <c r="G69" s="30" t="str">
        <f t="shared" si="7"/>
        <v>L</v>
      </c>
      <c r="H69" s="21" t="s">
        <v>149</v>
      </c>
      <c r="I69" s="21" t="s">
        <v>46</v>
      </c>
      <c r="J69"/>
      <c r="M69" s="27">
        <v>74</v>
      </c>
    </row>
    <row r="70" spans="1:13" x14ac:dyDescent="0.25">
      <c r="A70" s="23"/>
      <c r="B70" s="70" t="s">
        <v>198</v>
      </c>
      <c r="C70" s="20"/>
      <c r="D70" s="63" t="s">
        <v>29</v>
      </c>
      <c r="E70" s="21" t="s">
        <v>22</v>
      </c>
      <c r="F70" s="26" t="str">
        <f t="shared" si="6"/>
        <v>0x3A</v>
      </c>
      <c r="G70" s="30" t="str">
        <f t="shared" si="7"/>
        <v>H</v>
      </c>
      <c r="H70" s="21" t="s">
        <v>150</v>
      </c>
      <c r="I70" s="21" t="s">
        <v>216</v>
      </c>
      <c r="J70"/>
      <c r="M70" s="27">
        <v>75</v>
      </c>
    </row>
    <row r="71" spans="1:13" x14ac:dyDescent="0.25">
      <c r="A71" s="23"/>
      <c r="B71" s="70" t="s">
        <v>199</v>
      </c>
      <c r="C71" s="20"/>
      <c r="D71" s="63" t="s">
        <v>29</v>
      </c>
      <c r="E71" s="21" t="s">
        <v>22</v>
      </c>
      <c r="F71" s="26" t="str">
        <f t="shared" si="6"/>
        <v>0x38</v>
      </c>
      <c r="G71" s="30" t="str">
        <f t="shared" si="7"/>
        <v>L</v>
      </c>
      <c r="H71" s="21" t="s">
        <v>156</v>
      </c>
      <c r="I71" s="21" t="s">
        <v>46</v>
      </c>
      <c r="J71"/>
      <c r="M71" s="27">
        <v>70</v>
      </c>
    </row>
    <row r="72" spans="1:13" x14ac:dyDescent="0.25">
      <c r="A72" s="23"/>
      <c r="B72" s="70" t="s">
        <v>47</v>
      </c>
      <c r="C72" s="20"/>
      <c r="D72" s="63" t="s">
        <v>29</v>
      </c>
      <c r="E72" s="21" t="s">
        <v>22</v>
      </c>
      <c r="F72" s="26" t="str">
        <f t="shared" si="6"/>
        <v>0x46</v>
      </c>
      <c r="G72" s="30" t="str">
        <f t="shared" si="7"/>
        <v>H</v>
      </c>
      <c r="H72" s="21" t="s">
        <v>157</v>
      </c>
      <c r="I72" s="21" t="s">
        <v>157</v>
      </c>
      <c r="J72"/>
      <c r="M72" s="27" t="s">
        <v>134</v>
      </c>
    </row>
    <row r="73" spans="1:13" x14ac:dyDescent="0.25">
      <c r="A73" s="23"/>
      <c r="B73" s="70" t="s">
        <v>48</v>
      </c>
      <c r="C73" s="20"/>
      <c r="D73" s="63" t="s">
        <v>29</v>
      </c>
      <c r="E73" s="63" t="s">
        <v>22</v>
      </c>
      <c r="F73" s="26" t="str">
        <f t="shared" si="6"/>
        <v>0x3C</v>
      </c>
      <c r="G73" s="30" t="str">
        <f t="shared" si="7"/>
        <v>H</v>
      </c>
      <c r="H73" s="21" t="s">
        <v>74</v>
      </c>
      <c r="I73" s="21" t="s">
        <v>46</v>
      </c>
      <c r="J73"/>
      <c r="M73" s="27">
        <v>79</v>
      </c>
    </row>
    <row r="74" spans="1:13" x14ac:dyDescent="0.25">
      <c r="A74" s="23"/>
      <c r="B74" s="70" t="s">
        <v>200</v>
      </c>
      <c r="C74" s="20"/>
      <c r="D74" s="63" t="s">
        <v>29</v>
      </c>
      <c r="E74" s="63" t="s">
        <v>22</v>
      </c>
      <c r="F74" s="26" t="str">
        <f t="shared" si="6"/>
        <v>0x68</v>
      </c>
      <c r="G74" s="30" t="str">
        <f t="shared" si="7"/>
        <v>L</v>
      </c>
      <c r="H74" s="21" t="s">
        <v>153</v>
      </c>
      <c r="I74" s="21" t="s">
        <v>46</v>
      </c>
      <c r="J74"/>
      <c r="M74" s="27" t="s">
        <v>142</v>
      </c>
    </row>
    <row r="75" spans="1:13" x14ac:dyDescent="0.25">
      <c r="A75" s="23"/>
      <c r="B75" s="70" t="s">
        <v>43</v>
      </c>
      <c r="C75" s="20"/>
      <c r="D75" s="21" t="s">
        <v>29</v>
      </c>
      <c r="E75" s="63" t="s">
        <v>22</v>
      </c>
      <c r="F75" s="26" t="str">
        <f t="shared" si="6"/>
        <v>0x39</v>
      </c>
      <c r="G75" s="30" t="str">
        <f t="shared" si="7"/>
        <v>H</v>
      </c>
      <c r="H75" s="21" t="s">
        <v>156</v>
      </c>
      <c r="I75" s="21" t="s">
        <v>156</v>
      </c>
      <c r="J75"/>
      <c r="M75" s="27">
        <v>73</v>
      </c>
    </row>
    <row r="76" spans="1:13" x14ac:dyDescent="0.25">
      <c r="A76" s="23"/>
      <c r="B76" s="70" t="s">
        <v>42</v>
      </c>
      <c r="C76" s="20"/>
      <c r="D76" s="21" t="s">
        <v>29</v>
      </c>
      <c r="E76" s="63" t="s">
        <v>22</v>
      </c>
      <c r="F76" s="26" t="str">
        <f t="shared" si="6"/>
        <v>0x32</v>
      </c>
      <c r="G76" s="30" t="str">
        <f t="shared" si="7"/>
        <v>L</v>
      </c>
      <c r="H76" s="21" t="s">
        <v>153</v>
      </c>
      <c r="I76" s="21" t="s">
        <v>46</v>
      </c>
      <c r="J76"/>
      <c r="M76" s="27">
        <v>64</v>
      </c>
    </row>
    <row r="77" spans="1:13" x14ac:dyDescent="0.25">
      <c r="A77" s="23"/>
      <c r="B77" s="70" t="s">
        <v>44</v>
      </c>
      <c r="C77" s="20"/>
      <c r="D77" s="63" t="s">
        <v>29</v>
      </c>
      <c r="E77" s="63" t="s">
        <v>22</v>
      </c>
      <c r="F77" s="26" t="str">
        <f t="shared" si="6"/>
        <v>0x32</v>
      </c>
      <c r="G77" s="30" t="str">
        <f t="shared" si="7"/>
        <v>H</v>
      </c>
      <c r="H77" s="21" t="s">
        <v>153</v>
      </c>
      <c r="I77" s="21" t="s">
        <v>46</v>
      </c>
      <c r="J77"/>
      <c r="M77" s="27">
        <v>65</v>
      </c>
    </row>
    <row r="78" spans="1:13" x14ac:dyDescent="0.25">
      <c r="A78" s="23"/>
      <c r="B78" s="70" t="s">
        <v>201</v>
      </c>
      <c r="C78" s="20"/>
      <c r="D78" s="63" t="s">
        <v>29</v>
      </c>
      <c r="E78" s="21" t="s">
        <v>22</v>
      </c>
      <c r="F78" s="26" t="str">
        <f t="shared" si="6"/>
        <v>0x33</v>
      </c>
      <c r="G78" s="30" t="str">
        <f t="shared" si="7"/>
        <v>L</v>
      </c>
      <c r="H78" s="21" t="s">
        <v>153</v>
      </c>
      <c r="I78" s="21" t="s">
        <v>46</v>
      </c>
      <c r="J78"/>
      <c r="M78" s="27">
        <v>66</v>
      </c>
    </row>
    <row r="79" spans="1:13" x14ac:dyDescent="0.25">
      <c r="A79" s="23"/>
      <c r="B79" s="70" t="s">
        <v>45</v>
      </c>
      <c r="C79" s="20"/>
      <c r="D79" s="63" t="s">
        <v>29</v>
      </c>
      <c r="E79" s="21" t="s">
        <v>22</v>
      </c>
      <c r="F79" s="26" t="str">
        <f t="shared" si="6"/>
        <v>0x33</v>
      </c>
      <c r="G79" s="30" t="str">
        <f t="shared" si="7"/>
        <v>H</v>
      </c>
      <c r="H79" s="21" t="s">
        <v>153</v>
      </c>
      <c r="I79" s="21" t="s">
        <v>46</v>
      </c>
      <c r="J79"/>
      <c r="M79" s="27">
        <v>67</v>
      </c>
    </row>
    <row r="80" spans="1:13" x14ac:dyDescent="0.25">
      <c r="A80" s="23"/>
      <c r="B80" s="70" t="s">
        <v>202</v>
      </c>
      <c r="C80" s="20"/>
      <c r="D80" s="63" t="s">
        <v>29</v>
      </c>
      <c r="E80" s="63" t="s">
        <v>22</v>
      </c>
      <c r="F80" s="26" t="str">
        <f t="shared" si="6"/>
        <v>0x69</v>
      </c>
      <c r="G80" s="30" t="str">
        <f t="shared" si="7"/>
        <v>L</v>
      </c>
      <c r="H80" s="21" t="s">
        <v>153</v>
      </c>
      <c r="I80" s="21" t="s">
        <v>46</v>
      </c>
      <c r="J80"/>
      <c r="M80" s="27" t="s">
        <v>143</v>
      </c>
    </row>
    <row r="81" spans="1:13" x14ac:dyDescent="0.25">
      <c r="A81" s="23"/>
      <c r="B81" s="70" t="s">
        <v>203</v>
      </c>
      <c r="C81" s="20"/>
      <c r="D81" s="63" t="s">
        <v>29</v>
      </c>
      <c r="E81" s="63" t="s">
        <v>22</v>
      </c>
      <c r="F81" s="26" t="str">
        <f t="shared" si="6"/>
        <v>0x6A</v>
      </c>
      <c r="G81" s="30" t="str">
        <f t="shared" si="7"/>
        <v>L</v>
      </c>
      <c r="H81" s="21" t="s">
        <v>153</v>
      </c>
      <c r="I81" s="21" t="s">
        <v>46</v>
      </c>
      <c r="J81"/>
      <c r="M81" s="27" t="s">
        <v>144</v>
      </c>
    </row>
    <row r="82" spans="1:13" x14ac:dyDescent="0.25">
      <c r="A82" s="23"/>
      <c r="B82" s="70" t="s">
        <v>204</v>
      </c>
      <c r="C82" s="20"/>
      <c r="D82" s="21" t="s">
        <v>29</v>
      </c>
      <c r="E82" s="63" t="s">
        <v>22</v>
      </c>
      <c r="F82" s="26" t="str">
        <f t="shared" si="6"/>
        <v>0x6B</v>
      </c>
      <c r="G82" s="30" t="str">
        <f t="shared" si="7"/>
        <v>L</v>
      </c>
      <c r="H82" s="21" t="s">
        <v>153</v>
      </c>
      <c r="I82" s="21" t="s">
        <v>46</v>
      </c>
      <c r="J82"/>
      <c r="M82" s="27" t="s">
        <v>145</v>
      </c>
    </row>
    <row r="83" spans="1:13" x14ac:dyDescent="0.25">
      <c r="A83" s="23"/>
      <c r="B83" s="70" t="s">
        <v>205</v>
      </c>
      <c r="C83" s="20"/>
      <c r="D83" s="63" t="s">
        <v>29</v>
      </c>
      <c r="E83" s="63" t="s">
        <v>22</v>
      </c>
      <c r="F83" s="26" t="str">
        <f t="shared" si="6"/>
        <v>0x79</v>
      </c>
      <c r="G83" s="30" t="str">
        <f t="shared" si="7"/>
        <v>L</v>
      </c>
      <c r="H83" s="21" t="s">
        <v>73</v>
      </c>
      <c r="I83" s="21" t="s">
        <v>46</v>
      </c>
      <c r="J83"/>
      <c r="M83" s="27" t="s">
        <v>146</v>
      </c>
    </row>
    <row r="84" spans="1:13" x14ac:dyDescent="0.25">
      <c r="A84" s="23"/>
      <c r="B84" s="70" t="s">
        <v>206</v>
      </c>
      <c r="C84" s="20"/>
      <c r="D84" s="21" t="s">
        <v>29</v>
      </c>
      <c r="E84" s="21" t="s">
        <v>22</v>
      </c>
      <c r="F84" s="26" t="str">
        <f t="shared" si="6"/>
        <v>0x79</v>
      </c>
      <c r="G84" s="30" t="str">
        <f t="shared" si="7"/>
        <v>L</v>
      </c>
      <c r="H84" s="21" t="s">
        <v>158</v>
      </c>
      <c r="I84" s="21" t="s">
        <v>46</v>
      </c>
      <c r="J84"/>
      <c r="M84" s="27" t="s">
        <v>146</v>
      </c>
    </row>
    <row r="85" spans="1:13" x14ac:dyDescent="0.25">
      <c r="A85" s="53"/>
      <c r="B85" s="71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1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1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2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3"/>
      <c r="C89" s="22"/>
      <c r="D89" s="79" t="s">
        <v>23</v>
      </c>
      <c r="E89" s="79"/>
      <c r="F89" s="79"/>
      <c r="G89" s="79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A16" sqref="A8:A16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31" t="s">
        <v>24</v>
      </c>
      <c r="B1" s="32">
        <v>43104.754131944443</v>
      </c>
    </row>
    <row r="2" spans="1:2" x14ac:dyDescent="0.25">
      <c r="A2" s="31" t="s">
        <v>25</v>
      </c>
      <c r="B2" s="32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10"/>
  <sheetViews>
    <sheetView workbookViewId="0">
      <selection activeCell="B3" sqref="B3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34" t="s">
        <v>27</v>
      </c>
      <c r="B1" s="35" t="s">
        <v>50</v>
      </c>
    </row>
    <row r="2" spans="1:2" ht="27" customHeight="1" x14ac:dyDescent="0.25">
      <c r="A2" s="54" t="s">
        <v>223</v>
      </c>
      <c r="B2" s="33" t="s">
        <v>31</v>
      </c>
    </row>
    <row r="3" spans="1:2" ht="27" customHeight="1" x14ac:dyDescent="0.25">
      <c r="A3" s="54" t="s">
        <v>211</v>
      </c>
      <c r="B3" s="33" t="s">
        <v>248</v>
      </c>
    </row>
    <row r="4" spans="1:2" ht="24.95" customHeight="1" x14ac:dyDescent="0.25">
      <c r="A4" s="54" t="s">
        <v>224</v>
      </c>
      <c r="B4" s="33" t="s">
        <v>31</v>
      </c>
    </row>
    <row r="5" spans="1:2" ht="20.25" x14ac:dyDescent="0.25">
      <c r="A5" s="12"/>
      <c r="B5" s="12"/>
    </row>
    <row r="6" spans="1:2" ht="20.25" x14ac:dyDescent="0.25">
      <c r="A6" s="12"/>
      <c r="B6" s="12"/>
    </row>
    <row r="7" spans="1:2" ht="20.25" x14ac:dyDescent="0.25">
      <c r="A7" s="12"/>
      <c r="B7" s="12"/>
    </row>
    <row r="8" spans="1:2" ht="20.25" x14ac:dyDescent="0.25">
      <c r="A8" s="12"/>
      <c r="B8" s="12"/>
    </row>
    <row r="9" spans="1:2" ht="20.25" x14ac:dyDescent="0.25">
      <c r="A9" s="12"/>
      <c r="B9" s="12"/>
    </row>
    <row r="10" spans="1:2" ht="20.25" x14ac:dyDescent="0.25">
      <c r="A10" s="12"/>
      <c r="B10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35"/>
  <sheetViews>
    <sheetView topLeftCell="A28" workbookViewId="0">
      <selection activeCell="A28" sqref="A28:XFD28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34" t="s">
        <v>79</v>
      </c>
      <c r="B1" s="35" t="s">
        <v>80</v>
      </c>
    </row>
    <row r="2" spans="1:2" ht="20.25" x14ac:dyDescent="0.25">
      <c r="A2" s="58" t="s">
        <v>82</v>
      </c>
      <c r="B2" s="59" t="s">
        <v>81</v>
      </c>
    </row>
    <row r="3" spans="1:2" ht="20.25" x14ac:dyDescent="0.25">
      <c r="A3" s="60" t="s">
        <v>83</v>
      </c>
      <c r="B3" s="59" t="s">
        <v>81</v>
      </c>
    </row>
    <row r="4" spans="1:2" ht="20.25" x14ac:dyDescent="0.25">
      <c r="A4" s="60" t="s">
        <v>84</v>
      </c>
      <c r="B4" s="59" t="s">
        <v>116</v>
      </c>
    </row>
    <row r="5" spans="1:2" ht="20.25" x14ac:dyDescent="0.25">
      <c r="A5" s="60" t="s">
        <v>85</v>
      </c>
      <c r="B5" s="59" t="s">
        <v>90</v>
      </c>
    </row>
    <row r="6" spans="1:2" ht="20.25" x14ac:dyDescent="0.25">
      <c r="A6" s="60" t="s">
        <v>86</v>
      </c>
      <c r="B6" s="59" t="s">
        <v>81</v>
      </c>
    </row>
    <row r="7" spans="1:2" ht="20.25" x14ac:dyDescent="0.25">
      <c r="A7" s="60" t="s">
        <v>87</v>
      </c>
      <c r="B7" s="59" t="s">
        <v>81</v>
      </c>
    </row>
    <row r="8" spans="1:2" ht="20.25" x14ac:dyDescent="0.25">
      <c r="A8" s="60" t="s">
        <v>88</v>
      </c>
      <c r="B8" s="59" t="s">
        <v>81</v>
      </c>
    </row>
    <row r="9" spans="1:2" ht="20.25" x14ac:dyDescent="0.25">
      <c r="A9" s="60" t="s">
        <v>89</v>
      </c>
      <c r="B9" s="59" t="s">
        <v>81</v>
      </c>
    </row>
    <row r="10" spans="1:2" ht="20.25" x14ac:dyDescent="0.25">
      <c r="A10" s="60" t="s">
        <v>91</v>
      </c>
      <c r="B10" s="59" t="s">
        <v>81</v>
      </c>
    </row>
    <row r="11" spans="1:2" ht="20.25" x14ac:dyDescent="0.25">
      <c r="A11" s="60" t="s">
        <v>92</v>
      </c>
      <c r="B11" s="59" t="s">
        <v>81</v>
      </c>
    </row>
    <row r="12" spans="1:2" ht="20.25" x14ac:dyDescent="0.25">
      <c r="A12" s="60" t="s">
        <v>93</v>
      </c>
      <c r="B12" s="59" t="s">
        <v>81</v>
      </c>
    </row>
    <row r="13" spans="1:2" ht="20.25" x14ac:dyDescent="0.25">
      <c r="A13" s="60" t="s">
        <v>94</v>
      </c>
      <c r="B13" s="59" t="s">
        <v>81</v>
      </c>
    </row>
    <row r="14" spans="1:2" ht="20.25" x14ac:dyDescent="0.25">
      <c r="A14" s="60" t="s">
        <v>95</v>
      </c>
      <c r="B14" s="59" t="s">
        <v>81</v>
      </c>
    </row>
    <row r="15" spans="1:2" ht="20.25" x14ac:dyDescent="0.25">
      <c r="A15" s="60" t="s">
        <v>96</v>
      </c>
      <c r="B15" s="59" t="s">
        <v>81</v>
      </c>
    </row>
    <row r="16" spans="1:2" ht="20.25" x14ac:dyDescent="0.25">
      <c r="A16" s="60" t="s">
        <v>97</v>
      </c>
      <c r="B16" s="59" t="s">
        <v>81</v>
      </c>
    </row>
    <row r="17" spans="1:2" ht="20.25" x14ac:dyDescent="0.25">
      <c r="A17" s="60" t="s">
        <v>98</v>
      </c>
      <c r="B17" s="59" t="s">
        <v>81</v>
      </c>
    </row>
    <row r="18" spans="1:2" ht="20.25" x14ac:dyDescent="0.25">
      <c r="A18" s="60" t="s">
        <v>99</v>
      </c>
      <c r="B18" s="59" t="s">
        <v>81</v>
      </c>
    </row>
    <row r="19" spans="1:2" ht="20.25" x14ac:dyDescent="0.25">
      <c r="A19" s="60" t="s">
        <v>117</v>
      </c>
      <c r="B19" s="59" t="s">
        <v>118</v>
      </c>
    </row>
    <row r="20" spans="1:2" ht="20.25" x14ac:dyDescent="0.25">
      <c r="A20" s="60" t="s">
        <v>100</v>
      </c>
      <c r="B20" s="59" t="s">
        <v>81</v>
      </c>
    </row>
    <row r="21" spans="1:2" ht="20.25" x14ac:dyDescent="0.25">
      <c r="A21" s="60" t="s">
        <v>101</v>
      </c>
      <c r="B21" s="59" t="s">
        <v>81</v>
      </c>
    </row>
    <row r="22" spans="1:2" ht="20.25" x14ac:dyDescent="0.25">
      <c r="A22" s="60" t="s">
        <v>102</v>
      </c>
      <c r="B22" s="59" t="s">
        <v>81</v>
      </c>
    </row>
    <row r="23" spans="1:2" ht="20.25" x14ac:dyDescent="0.25">
      <c r="A23" s="60" t="s">
        <v>103</v>
      </c>
      <c r="B23" s="59" t="s">
        <v>81</v>
      </c>
    </row>
    <row r="24" spans="1:2" ht="20.25" x14ac:dyDescent="0.25">
      <c r="A24" s="60" t="s">
        <v>104</v>
      </c>
      <c r="B24" s="59" t="s">
        <v>81</v>
      </c>
    </row>
    <row r="25" spans="1:2" ht="20.25" x14ac:dyDescent="0.25">
      <c r="A25" s="60" t="s">
        <v>105</v>
      </c>
      <c r="B25" s="59" t="s">
        <v>81</v>
      </c>
    </row>
    <row r="26" spans="1:2" ht="20.25" x14ac:dyDescent="0.25">
      <c r="A26" s="60" t="s">
        <v>106</v>
      </c>
      <c r="B26" s="59" t="s">
        <v>81</v>
      </c>
    </row>
    <row r="27" spans="1:2" ht="20.25" x14ac:dyDescent="0.25">
      <c r="A27" s="60" t="s">
        <v>107</v>
      </c>
      <c r="B27" s="59" t="s">
        <v>81</v>
      </c>
    </row>
    <row r="28" spans="1:2" ht="20.25" x14ac:dyDescent="0.25">
      <c r="A28" s="60" t="s">
        <v>108</v>
      </c>
      <c r="B28" s="59" t="s">
        <v>81</v>
      </c>
    </row>
    <row r="29" spans="1:2" ht="20.25" x14ac:dyDescent="0.25">
      <c r="A29" s="60" t="s">
        <v>109</v>
      </c>
      <c r="B29" s="59" t="s">
        <v>81</v>
      </c>
    </row>
    <row r="30" spans="1:2" ht="20.25" x14ac:dyDescent="0.25">
      <c r="A30" s="60" t="s">
        <v>110</v>
      </c>
      <c r="B30" s="59" t="s">
        <v>81</v>
      </c>
    </row>
    <row r="31" spans="1:2" ht="20.25" x14ac:dyDescent="0.25">
      <c r="A31" s="60" t="s">
        <v>111</v>
      </c>
      <c r="B31" s="59" t="s">
        <v>81</v>
      </c>
    </row>
    <row r="32" spans="1:2" ht="20.25" x14ac:dyDescent="0.25">
      <c r="A32" s="60" t="s">
        <v>112</v>
      </c>
      <c r="B32" s="59" t="s">
        <v>81</v>
      </c>
    </row>
    <row r="33" spans="1:2" ht="20.25" x14ac:dyDescent="0.25">
      <c r="A33" s="60" t="s">
        <v>113</v>
      </c>
      <c r="B33" s="59" t="s">
        <v>81</v>
      </c>
    </row>
    <row r="34" spans="1:2" ht="20.25" x14ac:dyDescent="0.25">
      <c r="A34" s="60" t="s">
        <v>114</v>
      </c>
      <c r="B34" s="59" t="s">
        <v>81</v>
      </c>
    </row>
    <row r="35" spans="1:2" ht="20.25" x14ac:dyDescent="0.25">
      <c r="A35" s="60" t="s">
        <v>115</v>
      </c>
      <c r="B35" s="59" t="s">
        <v>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38</vt:i4>
      </vt:variant>
    </vt:vector>
  </HeadingPairs>
  <TitlesOfParts>
    <vt:vector size="38" baseType="lpstr">
      <vt:lpstr>Main</vt:lpstr>
      <vt:lpstr>8bits_480_60I</vt:lpstr>
      <vt:lpstr>8bits_480_60P</vt:lpstr>
      <vt:lpstr>8bits_1080_60I</vt:lpstr>
      <vt:lpstr>8bits_720_60P</vt:lpstr>
      <vt:lpstr>8bits_1080_60P</vt:lpstr>
      <vt:lpstr>8bits_4K2K_420_30P</vt:lpstr>
      <vt:lpstr>8bits_4K2K_3D_30P</vt:lpstr>
      <vt:lpstr>8bits_4K2K_420_60P</vt:lpstr>
      <vt:lpstr>8bits_4K2K_60P</vt:lpstr>
      <vt:lpstr>10bits_480_60I</vt:lpstr>
      <vt:lpstr>10bits_480_60P</vt:lpstr>
      <vt:lpstr>10bits_1080_60I</vt:lpstr>
      <vt:lpstr>10bits_720_60P</vt:lpstr>
      <vt:lpstr>10bits_1080_60P</vt:lpstr>
      <vt:lpstr>10bits_4K2K_420_30P</vt:lpstr>
      <vt:lpstr>10bits_4K2K_3D_30P</vt:lpstr>
      <vt:lpstr>10bits_4K2K_420_60P</vt:lpstr>
      <vt:lpstr>10bits_4K2K_60P_RB</vt:lpstr>
      <vt:lpstr>12bits_480_60I</vt:lpstr>
      <vt:lpstr>12bits_480_60P</vt:lpstr>
      <vt:lpstr>12bits_1080_60I</vt:lpstr>
      <vt:lpstr>12bits_720_60P</vt:lpstr>
      <vt:lpstr>12bits_1080_60P</vt:lpstr>
      <vt:lpstr>12bits_4K2K_420_30P</vt:lpstr>
      <vt:lpstr>12bits_4K2K_3D_30P</vt:lpstr>
      <vt:lpstr>12bits_4K2K_420_60P</vt:lpstr>
      <vt:lpstr>16bits_480_60I</vt:lpstr>
      <vt:lpstr>16bits_480_60P</vt:lpstr>
      <vt:lpstr>16bits_1080_60I</vt:lpstr>
      <vt:lpstr>16bits_720_60P</vt:lpstr>
      <vt:lpstr>16bits_1080_60P</vt:lpstr>
      <vt:lpstr>16bits_4K2K_420_30P</vt:lpstr>
      <vt:lpstr>16bits_4K2K_3D_30P</vt:lpstr>
      <vt:lpstr>16bits_4K2K_420_60P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2018-01-04T13:44:36Z</dcterms:modified>
</cp:coreProperties>
</file>